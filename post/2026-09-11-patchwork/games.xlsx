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gla-my.sharepoint.com/personal/emily_nordmann_glasgow_ac_uk/Documents/01_Admin/netlify/post/2026-09-11-patchwork/"/>
    </mc:Choice>
  </mc:AlternateContent>
  <xr:revisionPtr revIDLastSave="401" documentId="13_ncr:1_{E56018E6-9B6E-430E-A33E-FC8912311B56}" xr6:coauthVersionLast="47" xr6:coauthVersionMax="47" xr10:uidLastSave="{6B972591-1D53-4A6F-846B-78AAF20E4B9C}"/>
  <bookViews>
    <workbookView xWindow="-110" yWindow="-110" windowWidth="22780" windowHeight="14540" firstSheet="1" activeTab="7" xr2:uid="{00000000-000D-0000-FFFF-FFFF00000000}"/>
  </bookViews>
  <sheets>
    <sheet name="Duel" sheetId="1" r:id="rId1"/>
    <sheet name="Splendor Duel" sheetId="13" r:id="rId2"/>
    <sheet name="Isle of Skye" sheetId="14" r:id="rId3"/>
    <sheet name="Carcassone" sheetId="8" r:id="rId4"/>
    <sheet name="Ticket to Ride" sheetId="10" r:id="rId5"/>
    <sheet name="7Wonders" sheetId="3" r:id="rId6"/>
    <sheet name="Patchwork" sheetId="2" r:id="rId7"/>
    <sheet name="Scrabble" sheetId="12" r:id="rId8"/>
    <sheet name="Splendor" sheetId="6" r:id="rId9"/>
  </sheets>
  <definedNames>
    <definedName name="_xlnm._FilterDatabase" localSheetId="0" hidden="1">Duel!$A$1:$T$28</definedName>
    <definedName name="_xlnm._FilterDatabase" localSheetId="6" hidden="1">Patchwork!$A$1:$L$30</definedName>
  </definedNames>
  <calcPr calcId="191029"/>
  <pivotCaches>
    <pivotCache cacheId="39" r:id="rId10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3" i="12" l="1"/>
  <c r="E4" i="12"/>
  <c r="E5" i="12"/>
  <c r="E6" i="12"/>
  <c r="E7" i="12"/>
  <c r="E8" i="12"/>
  <c r="E9" i="12"/>
  <c r="E10" i="12"/>
  <c r="E11" i="12"/>
  <c r="E12" i="12"/>
  <c r="E13" i="12"/>
  <c r="E14" i="12"/>
  <c r="E15" i="12"/>
  <c r="E16" i="12"/>
  <c r="E17" i="12"/>
  <c r="E18" i="12"/>
  <c r="E19" i="12"/>
  <c r="E20" i="12"/>
  <c r="E21" i="12"/>
  <c r="E22" i="12"/>
  <c r="E23" i="12"/>
  <c r="E24" i="12"/>
  <c r="E25" i="12"/>
  <c r="E26" i="12"/>
  <c r="E27" i="12"/>
  <c r="E28" i="12"/>
  <c r="E2" i="12"/>
  <c r="E29" i="12"/>
  <c r="E30" i="12"/>
  <c r="E31" i="12"/>
  <c r="E32" i="12"/>
  <c r="E33" i="12"/>
  <c r="E34" i="12"/>
  <c r="E35" i="12"/>
  <c r="E36" i="12"/>
  <c r="E37" i="12"/>
  <c r="E38" i="12"/>
  <c r="E39" i="12"/>
  <c r="E40" i="12"/>
  <c r="E41" i="12"/>
  <c r="E42" i="12"/>
  <c r="E43" i="12"/>
  <c r="E44" i="12"/>
  <c r="E45" i="12"/>
  <c r="E46" i="12"/>
  <c r="E47" i="12"/>
  <c r="E48" i="12"/>
  <c r="E49" i="12"/>
  <c r="E50" i="12"/>
  <c r="E51" i="12"/>
  <c r="E52" i="12"/>
  <c r="E53" i="12"/>
  <c r="E54" i="12"/>
  <c r="E55" i="12"/>
  <c r="E56" i="12"/>
  <c r="E57" i="12"/>
  <c r="E58" i="12"/>
  <c r="E59" i="12"/>
  <c r="E60" i="12"/>
  <c r="E61" i="12"/>
  <c r="K39" i="8"/>
  <c r="L39" i="8"/>
  <c r="M39" i="8"/>
  <c r="N39" i="8"/>
  <c r="K40" i="8"/>
  <c r="L40" i="8"/>
  <c r="M40" i="8"/>
  <c r="N40" i="8"/>
  <c r="K41" i="8"/>
  <c r="L41" i="8"/>
  <c r="M41" i="8"/>
  <c r="N41" i="8"/>
  <c r="K42" i="8"/>
  <c r="L42" i="8"/>
  <c r="M42" i="8"/>
  <c r="N42" i="8"/>
  <c r="K43" i="8"/>
  <c r="L43" i="8"/>
  <c r="M43" i="8"/>
  <c r="N43" i="8"/>
  <c r="K44" i="8"/>
  <c r="L44" i="8"/>
  <c r="M44" i="8"/>
  <c r="N44" i="8"/>
  <c r="K45" i="8"/>
  <c r="L45" i="8"/>
  <c r="M45" i="8"/>
  <c r="N45" i="8"/>
  <c r="K46" i="8"/>
  <c r="L46" i="8"/>
  <c r="M46" i="8"/>
  <c r="N46" i="8"/>
  <c r="K47" i="8"/>
  <c r="L47" i="8"/>
  <c r="M47" i="8"/>
  <c r="N47" i="8"/>
  <c r="K48" i="8"/>
  <c r="L48" i="8"/>
  <c r="M48" i="8"/>
  <c r="N48" i="8"/>
  <c r="K49" i="8"/>
  <c r="L49" i="8"/>
  <c r="M49" i="8"/>
  <c r="N49" i="8"/>
  <c r="K50" i="8"/>
  <c r="L50" i="8"/>
  <c r="M50" i="8"/>
  <c r="N50" i="8"/>
  <c r="K51" i="8"/>
  <c r="L51" i="8"/>
  <c r="M51" i="8"/>
  <c r="N51" i="8"/>
  <c r="K52" i="8"/>
  <c r="L52" i="8"/>
  <c r="M52" i="8"/>
  <c r="N52" i="8"/>
  <c r="K53" i="8"/>
  <c r="L53" i="8"/>
  <c r="M53" i="8"/>
  <c r="N53" i="8"/>
  <c r="K54" i="8"/>
  <c r="L54" i="8"/>
  <c r="M54" i="8"/>
  <c r="N54" i="8"/>
  <c r="K55" i="8"/>
  <c r="L55" i="8"/>
  <c r="M55" i="8"/>
  <c r="N55" i="8"/>
  <c r="K56" i="8"/>
  <c r="L56" i="8"/>
  <c r="M56" i="8"/>
  <c r="N56" i="8"/>
  <c r="K57" i="8"/>
  <c r="L57" i="8"/>
  <c r="M57" i="8"/>
  <c r="N57" i="8"/>
  <c r="K58" i="8"/>
  <c r="L58" i="8"/>
  <c r="M58" i="8"/>
  <c r="N58" i="8"/>
  <c r="K59" i="8"/>
  <c r="L59" i="8"/>
  <c r="M59" i="8"/>
  <c r="N59" i="8"/>
  <c r="K60" i="8"/>
  <c r="L60" i="8"/>
  <c r="M60" i="8"/>
  <c r="N60" i="8"/>
  <c r="K61" i="8"/>
  <c r="L61" i="8"/>
  <c r="M61" i="8"/>
  <c r="N61" i="8"/>
  <c r="K62" i="8"/>
  <c r="L62" i="8"/>
  <c r="M62" i="8"/>
  <c r="N62" i="8"/>
  <c r="K63" i="8"/>
  <c r="L63" i="8"/>
  <c r="M63" i="8"/>
  <c r="N63" i="8"/>
  <c r="K64" i="8"/>
  <c r="L64" i="8"/>
  <c r="M64" i="8"/>
  <c r="N64" i="8"/>
  <c r="K65" i="8"/>
  <c r="L65" i="8"/>
  <c r="M65" i="8"/>
  <c r="N65" i="8"/>
  <c r="K66" i="8"/>
  <c r="L66" i="8"/>
  <c r="M66" i="8"/>
  <c r="N66" i="8"/>
  <c r="K67" i="8"/>
  <c r="L67" i="8"/>
  <c r="M67" i="8"/>
  <c r="N67" i="8"/>
  <c r="K68" i="8"/>
  <c r="L68" i="8"/>
  <c r="M68" i="8"/>
  <c r="N68" i="8"/>
  <c r="K69" i="8"/>
  <c r="L69" i="8"/>
  <c r="M69" i="8"/>
  <c r="N69" i="8"/>
  <c r="K70" i="8"/>
  <c r="L70" i="8"/>
  <c r="M70" i="8"/>
  <c r="N70" i="8"/>
  <c r="K71" i="8"/>
  <c r="L71" i="8"/>
  <c r="M71" i="8"/>
  <c r="N71" i="8"/>
  <c r="K72" i="8"/>
  <c r="L72" i="8"/>
  <c r="M72" i="8"/>
  <c r="N72" i="8"/>
  <c r="K73" i="8"/>
  <c r="L73" i="8"/>
  <c r="M73" i="8"/>
  <c r="N73" i="8"/>
  <c r="K74" i="8"/>
  <c r="L74" i="8"/>
  <c r="M74" i="8"/>
  <c r="N74" i="8"/>
  <c r="K75" i="8"/>
  <c r="L75" i="8"/>
  <c r="M75" i="8"/>
  <c r="N75" i="8"/>
  <c r="K76" i="8"/>
  <c r="L76" i="8"/>
  <c r="M76" i="8"/>
  <c r="N76" i="8"/>
  <c r="K77" i="8"/>
  <c r="L77" i="8"/>
  <c r="M77" i="8"/>
  <c r="N77" i="8"/>
  <c r="K78" i="8"/>
  <c r="L78" i="8"/>
  <c r="M78" i="8"/>
  <c r="N78" i="8"/>
  <c r="K79" i="8"/>
  <c r="L79" i="8"/>
  <c r="M79" i="8"/>
  <c r="N79" i="8"/>
  <c r="K80" i="8"/>
  <c r="L80" i="8"/>
  <c r="M80" i="8"/>
  <c r="N80" i="8"/>
  <c r="K81" i="8"/>
  <c r="L81" i="8"/>
  <c r="M81" i="8"/>
  <c r="N81" i="8"/>
  <c r="K82" i="8"/>
  <c r="L82" i="8"/>
  <c r="M82" i="8"/>
  <c r="N82" i="8"/>
  <c r="K83" i="8"/>
  <c r="L83" i="8"/>
  <c r="M83" i="8"/>
  <c r="N83" i="8"/>
  <c r="K84" i="8"/>
  <c r="L84" i="8"/>
  <c r="M84" i="8"/>
  <c r="N84" i="8"/>
  <c r="K85" i="8"/>
  <c r="L85" i="8"/>
  <c r="M85" i="8"/>
  <c r="N85" i="8"/>
  <c r="K86" i="8"/>
  <c r="L86" i="8"/>
  <c r="M86" i="8"/>
  <c r="N86" i="8"/>
  <c r="K87" i="8"/>
  <c r="L87" i="8"/>
  <c r="M87" i="8"/>
  <c r="N87" i="8"/>
  <c r="K88" i="8"/>
  <c r="L88" i="8"/>
  <c r="M88" i="8"/>
  <c r="N88" i="8"/>
  <c r="K89" i="8"/>
  <c r="L89" i="8"/>
  <c r="M89" i="8"/>
  <c r="N89" i="8"/>
  <c r="K90" i="8"/>
  <c r="L90" i="8"/>
  <c r="M90" i="8"/>
  <c r="N90" i="8"/>
  <c r="K91" i="8"/>
  <c r="L91" i="8"/>
  <c r="M91" i="8"/>
  <c r="N91" i="8"/>
  <c r="K92" i="8"/>
  <c r="L92" i="8"/>
  <c r="M92" i="8"/>
  <c r="N92" i="8"/>
  <c r="K93" i="8"/>
  <c r="L93" i="8"/>
  <c r="M93" i="8"/>
  <c r="N93" i="8"/>
  <c r="K94" i="8"/>
  <c r="L94" i="8"/>
  <c r="M94" i="8"/>
  <c r="N94" i="8"/>
  <c r="K95" i="8"/>
  <c r="L95" i="8"/>
  <c r="M95" i="8"/>
  <c r="N95" i="8"/>
  <c r="K96" i="8"/>
  <c r="L96" i="8"/>
  <c r="M96" i="8"/>
  <c r="N96" i="8"/>
  <c r="K97" i="8"/>
  <c r="L97" i="8"/>
  <c r="M97" i="8"/>
  <c r="N97" i="8"/>
  <c r="K98" i="8"/>
  <c r="L98" i="8"/>
  <c r="M98" i="8"/>
  <c r="N98" i="8"/>
  <c r="K99" i="8"/>
  <c r="L99" i="8"/>
  <c r="M99" i="8"/>
  <c r="N99" i="8"/>
  <c r="K100" i="8"/>
  <c r="L100" i="8"/>
  <c r="M100" i="8"/>
  <c r="N100" i="8"/>
  <c r="K101" i="8"/>
  <c r="L101" i="8"/>
  <c r="M101" i="8"/>
  <c r="N101" i="8"/>
  <c r="K102" i="8"/>
  <c r="L102" i="8"/>
  <c r="M102" i="8"/>
  <c r="N102" i="8"/>
  <c r="K103" i="8"/>
  <c r="L103" i="8"/>
  <c r="M103" i="8"/>
  <c r="N103" i="8"/>
  <c r="K104" i="8"/>
  <c r="L104" i="8"/>
  <c r="M104" i="8"/>
  <c r="N104" i="8"/>
  <c r="K105" i="8"/>
  <c r="L105" i="8"/>
  <c r="M105" i="8"/>
  <c r="N105" i="8"/>
  <c r="K106" i="8"/>
  <c r="L106" i="8"/>
  <c r="M106" i="8"/>
  <c r="N106" i="8"/>
  <c r="K107" i="8"/>
  <c r="L107" i="8"/>
  <c r="M107" i="8"/>
  <c r="N107" i="8"/>
  <c r="K108" i="8"/>
  <c r="L108" i="8"/>
  <c r="M108" i="8"/>
  <c r="N108" i="8"/>
  <c r="K109" i="8"/>
  <c r="L109" i="8"/>
  <c r="M109" i="8"/>
  <c r="N109" i="8"/>
  <c r="K110" i="8"/>
  <c r="L110" i="8"/>
  <c r="M110" i="8"/>
  <c r="N110" i="8"/>
  <c r="K111" i="8"/>
  <c r="L111" i="8"/>
  <c r="M111" i="8"/>
  <c r="N111" i="8"/>
  <c r="K112" i="8"/>
  <c r="L112" i="8"/>
  <c r="M112" i="8"/>
  <c r="N112" i="8"/>
  <c r="K113" i="8"/>
  <c r="L113" i="8"/>
  <c r="M113" i="8"/>
  <c r="N113" i="8"/>
  <c r="K114" i="8"/>
  <c r="L114" i="8"/>
  <c r="M114" i="8"/>
  <c r="N114" i="8"/>
  <c r="K115" i="8"/>
  <c r="L115" i="8"/>
  <c r="M115" i="8"/>
  <c r="N115" i="8"/>
  <c r="K116" i="8"/>
  <c r="L116" i="8"/>
  <c r="M116" i="8"/>
  <c r="N116" i="8"/>
  <c r="K117" i="8"/>
  <c r="L117" i="8"/>
  <c r="M117" i="8"/>
  <c r="N117" i="8"/>
  <c r="K118" i="8"/>
  <c r="L118" i="8"/>
  <c r="M118" i="8"/>
  <c r="N118" i="8"/>
  <c r="K119" i="8"/>
  <c r="L119" i="8"/>
  <c r="M119" i="8"/>
  <c r="N119" i="8"/>
  <c r="K120" i="8"/>
  <c r="L120" i="8"/>
  <c r="M120" i="8"/>
  <c r="N120" i="8"/>
  <c r="K121" i="8"/>
  <c r="L121" i="8"/>
  <c r="M121" i="8"/>
  <c r="N121" i="8"/>
  <c r="K122" i="8"/>
  <c r="L122" i="8"/>
  <c r="M122" i="8"/>
  <c r="N122" i="8"/>
  <c r="K123" i="8"/>
  <c r="L123" i="8"/>
  <c r="M123" i="8"/>
  <c r="N123" i="8"/>
  <c r="K124" i="8"/>
  <c r="L124" i="8"/>
  <c r="M124" i="8"/>
  <c r="N124" i="8"/>
  <c r="K125" i="8"/>
  <c r="L125" i="8"/>
  <c r="M125" i="8"/>
  <c r="N125" i="8"/>
  <c r="K126" i="8"/>
  <c r="L126" i="8"/>
  <c r="M126" i="8"/>
  <c r="N126" i="8"/>
  <c r="K127" i="8"/>
  <c r="L127" i="8"/>
  <c r="M127" i="8"/>
  <c r="N127" i="8"/>
  <c r="K128" i="8"/>
  <c r="L128" i="8"/>
  <c r="M128" i="8"/>
  <c r="N128" i="8"/>
  <c r="K129" i="8"/>
  <c r="L129" i="8"/>
  <c r="M129" i="8"/>
  <c r="N129" i="8"/>
  <c r="K130" i="8"/>
  <c r="L130" i="8"/>
  <c r="M130" i="8"/>
  <c r="N130" i="8"/>
  <c r="K131" i="8"/>
  <c r="L131" i="8"/>
  <c r="M131" i="8"/>
  <c r="N131" i="8"/>
  <c r="K132" i="8"/>
  <c r="L132" i="8"/>
  <c r="M132" i="8"/>
  <c r="N132" i="8"/>
  <c r="K133" i="8"/>
  <c r="L133" i="8"/>
  <c r="M133" i="8"/>
  <c r="N133" i="8"/>
  <c r="K134" i="8"/>
  <c r="L134" i="8"/>
  <c r="M134" i="8"/>
  <c r="N134" i="8"/>
  <c r="K135" i="8"/>
  <c r="L135" i="8"/>
  <c r="M135" i="8"/>
  <c r="N135" i="8"/>
  <c r="K136" i="8"/>
  <c r="L136" i="8"/>
  <c r="M136" i="8"/>
  <c r="N136" i="8"/>
  <c r="K137" i="8"/>
  <c r="L137" i="8"/>
  <c r="M137" i="8"/>
  <c r="N137" i="8"/>
  <c r="K138" i="8"/>
  <c r="L138" i="8"/>
  <c r="M138" i="8"/>
  <c r="N138" i="8"/>
  <c r="K139" i="8"/>
  <c r="L139" i="8"/>
  <c r="M139" i="8"/>
  <c r="N139" i="8"/>
  <c r="K140" i="8"/>
  <c r="L140" i="8"/>
  <c r="M140" i="8"/>
  <c r="N140" i="8"/>
  <c r="K141" i="8"/>
  <c r="L141" i="8"/>
  <c r="M141" i="8"/>
  <c r="N141" i="8"/>
  <c r="K142" i="8"/>
  <c r="L142" i="8"/>
  <c r="M142" i="8"/>
  <c r="N142" i="8"/>
  <c r="K143" i="8"/>
  <c r="L143" i="8"/>
  <c r="M143" i="8"/>
  <c r="N143" i="8"/>
  <c r="K144" i="8"/>
  <c r="L144" i="8"/>
  <c r="M144" i="8"/>
  <c r="N144" i="8"/>
  <c r="K145" i="8"/>
  <c r="L145" i="8"/>
  <c r="M145" i="8"/>
  <c r="N145" i="8"/>
  <c r="Q35" i="1"/>
  <c r="R35" i="1"/>
  <c r="Q36" i="1"/>
  <c r="R36" i="1"/>
  <c r="Q37" i="1"/>
  <c r="R37" i="1"/>
  <c r="Q38" i="1"/>
  <c r="R38" i="1"/>
  <c r="S38" i="1" s="1"/>
  <c r="Q39" i="1"/>
  <c r="R39" i="1"/>
  <c r="Q40" i="1"/>
  <c r="R40" i="1"/>
  <c r="S40" i="1" s="1"/>
  <c r="Q41" i="1"/>
  <c r="S41" i="1" s="1"/>
  <c r="R41" i="1"/>
  <c r="Q42" i="1"/>
  <c r="S42" i="1" s="1"/>
  <c r="R42" i="1"/>
  <c r="Q43" i="1"/>
  <c r="R43" i="1"/>
  <c r="Q44" i="1"/>
  <c r="R44" i="1"/>
  <c r="Q45" i="1"/>
  <c r="R45" i="1"/>
  <c r="Q46" i="1"/>
  <c r="R46" i="1"/>
  <c r="S46" i="1" s="1"/>
  <c r="Q47" i="1"/>
  <c r="R47" i="1"/>
  <c r="Q48" i="1"/>
  <c r="R48" i="1"/>
  <c r="S48" i="1" s="1"/>
  <c r="Q49" i="1"/>
  <c r="S49" i="1" s="1"/>
  <c r="R49" i="1"/>
  <c r="Q50" i="1"/>
  <c r="S50" i="1" s="1"/>
  <c r="R50" i="1"/>
  <c r="Q51" i="1"/>
  <c r="R51" i="1"/>
  <c r="Q52" i="1"/>
  <c r="R52" i="1"/>
  <c r="Q53" i="1"/>
  <c r="R53" i="1"/>
  <c r="Q54" i="1"/>
  <c r="R54" i="1"/>
  <c r="S54" i="1" s="1"/>
  <c r="Q55" i="1"/>
  <c r="R55" i="1"/>
  <c r="Q56" i="1"/>
  <c r="R56" i="1"/>
  <c r="S56" i="1" s="1"/>
  <c r="Q57" i="1"/>
  <c r="S57" i="1" s="1"/>
  <c r="R57" i="1"/>
  <c r="Q58" i="1"/>
  <c r="S58" i="1" s="1"/>
  <c r="R58" i="1"/>
  <c r="Q59" i="1"/>
  <c r="R59" i="1"/>
  <c r="Q60" i="1"/>
  <c r="R60" i="1"/>
  <c r="Q61" i="1"/>
  <c r="R61" i="1"/>
  <c r="Q62" i="1"/>
  <c r="R62" i="1"/>
  <c r="S62" i="1" s="1"/>
  <c r="Q63" i="1"/>
  <c r="R63" i="1"/>
  <c r="Q64" i="1"/>
  <c r="R64" i="1"/>
  <c r="S64" i="1" s="1"/>
  <c r="Q65" i="1"/>
  <c r="S65" i="1" s="1"/>
  <c r="R65" i="1"/>
  <c r="Q66" i="1"/>
  <c r="S66" i="1" s="1"/>
  <c r="R66" i="1"/>
  <c r="Q67" i="1"/>
  <c r="R67" i="1"/>
  <c r="Q68" i="1"/>
  <c r="R68" i="1"/>
  <c r="Q69" i="1"/>
  <c r="R69" i="1"/>
  <c r="Q70" i="1"/>
  <c r="R70" i="1"/>
  <c r="S70" i="1" s="1"/>
  <c r="Q71" i="1"/>
  <c r="R71" i="1"/>
  <c r="Q72" i="1"/>
  <c r="R72" i="1"/>
  <c r="S72" i="1" s="1"/>
  <c r="Q73" i="1"/>
  <c r="S73" i="1" s="1"/>
  <c r="R73" i="1"/>
  <c r="Q74" i="1"/>
  <c r="S74" i="1" s="1"/>
  <c r="R74" i="1"/>
  <c r="Q75" i="1"/>
  <c r="R75" i="1"/>
  <c r="Q76" i="1"/>
  <c r="R76" i="1"/>
  <c r="Q77" i="1"/>
  <c r="R77" i="1"/>
  <c r="Q78" i="1"/>
  <c r="R78" i="1"/>
  <c r="S78" i="1" s="1"/>
  <c r="Q79" i="1"/>
  <c r="R79" i="1"/>
  <c r="Q80" i="1"/>
  <c r="R80" i="1"/>
  <c r="S80" i="1" s="1"/>
  <c r="Q81" i="1"/>
  <c r="S81" i="1" s="1"/>
  <c r="R81" i="1"/>
  <c r="Q82" i="1"/>
  <c r="S82" i="1" s="1"/>
  <c r="R82" i="1"/>
  <c r="Q83" i="1"/>
  <c r="R83" i="1"/>
  <c r="Q84" i="1"/>
  <c r="R84" i="1"/>
  <c r="Q85" i="1"/>
  <c r="R85" i="1"/>
  <c r="Q86" i="1"/>
  <c r="R86" i="1"/>
  <c r="S86" i="1" s="1"/>
  <c r="Q87" i="1"/>
  <c r="R87" i="1"/>
  <c r="Q88" i="1"/>
  <c r="R88" i="1"/>
  <c r="S88" i="1" s="1"/>
  <c r="Q89" i="1"/>
  <c r="S89" i="1" s="1"/>
  <c r="R89" i="1"/>
  <c r="Q90" i="1"/>
  <c r="S90" i="1" s="1"/>
  <c r="R90" i="1"/>
  <c r="Q91" i="1"/>
  <c r="R91" i="1"/>
  <c r="Q92" i="1"/>
  <c r="R92" i="1"/>
  <c r="Q93" i="1"/>
  <c r="R93" i="1"/>
  <c r="Q94" i="1"/>
  <c r="R94" i="1"/>
  <c r="S94" i="1" s="1"/>
  <c r="Q95" i="1"/>
  <c r="R95" i="1"/>
  <c r="Q96" i="1"/>
  <c r="R96" i="1"/>
  <c r="S96" i="1" s="1"/>
  <c r="Q97" i="1"/>
  <c r="S97" i="1" s="1"/>
  <c r="R97" i="1"/>
  <c r="Q98" i="1"/>
  <c r="S98" i="1" s="1"/>
  <c r="R98" i="1"/>
  <c r="Q99" i="1"/>
  <c r="R99" i="1"/>
  <c r="Q100" i="1"/>
  <c r="R100" i="1"/>
  <c r="Q101" i="1"/>
  <c r="R101" i="1"/>
  <c r="Q102" i="1"/>
  <c r="R102" i="1"/>
  <c r="S102" i="1" s="1"/>
  <c r="Q103" i="1"/>
  <c r="R103" i="1"/>
  <c r="Q104" i="1"/>
  <c r="R104" i="1"/>
  <c r="S104" i="1" s="1"/>
  <c r="Q105" i="1"/>
  <c r="S105" i="1" s="1"/>
  <c r="R105" i="1"/>
  <c r="Q106" i="1"/>
  <c r="S106" i="1" s="1"/>
  <c r="R106" i="1"/>
  <c r="Q107" i="1"/>
  <c r="R107" i="1"/>
  <c r="Q108" i="1"/>
  <c r="R108" i="1"/>
  <c r="Q109" i="1"/>
  <c r="R109" i="1"/>
  <c r="Q110" i="1"/>
  <c r="R110" i="1"/>
  <c r="S110" i="1" s="1"/>
  <c r="Q111" i="1"/>
  <c r="R111" i="1"/>
  <c r="Q112" i="1"/>
  <c r="R112" i="1"/>
  <c r="S112" i="1" s="1"/>
  <c r="Q113" i="1"/>
  <c r="S113" i="1" s="1"/>
  <c r="R113" i="1"/>
  <c r="Q114" i="1"/>
  <c r="S114" i="1" s="1"/>
  <c r="R114" i="1"/>
  <c r="Q115" i="1"/>
  <c r="R115" i="1"/>
  <c r="Q116" i="1"/>
  <c r="R116" i="1"/>
  <c r="Q117" i="1"/>
  <c r="R117" i="1"/>
  <c r="Q118" i="1"/>
  <c r="R118" i="1"/>
  <c r="S118" i="1" s="1"/>
  <c r="Q119" i="1"/>
  <c r="R119" i="1"/>
  <c r="Q120" i="1"/>
  <c r="R120" i="1"/>
  <c r="S120" i="1" s="1"/>
  <c r="Q121" i="1"/>
  <c r="S121" i="1" s="1"/>
  <c r="R121" i="1"/>
  <c r="Q122" i="1"/>
  <c r="S122" i="1" s="1"/>
  <c r="R122" i="1"/>
  <c r="Q123" i="1"/>
  <c r="R123" i="1"/>
  <c r="Q124" i="1"/>
  <c r="R124" i="1"/>
  <c r="Q125" i="1"/>
  <c r="R125" i="1"/>
  <c r="Q126" i="1"/>
  <c r="R126" i="1"/>
  <c r="S126" i="1" s="1"/>
  <c r="Q127" i="1"/>
  <c r="R127" i="1"/>
  <c r="Q128" i="1"/>
  <c r="R128" i="1"/>
  <c r="S128" i="1" s="1"/>
  <c r="Q129" i="1"/>
  <c r="S129" i="1" s="1"/>
  <c r="R129" i="1"/>
  <c r="Q130" i="1"/>
  <c r="S130" i="1" s="1"/>
  <c r="R130" i="1"/>
  <c r="Q131" i="1"/>
  <c r="R131" i="1"/>
  <c r="Q132" i="1"/>
  <c r="R132" i="1"/>
  <c r="Q133" i="1"/>
  <c r="R133" i="1"/>
  <c r="Q134" i="1"/>
  <c r="R134" i="1"/>
  <c r="S134" i="1" s="1"/>
  <c r="Q135" i="1"/>
  <c r="R135" i="1"/>
  <c r="Q136" i="1"/>
  <c r="R136" i="1"/>
  <c r="S136" i="1" s="1"/>
  <c r="Q137" i="1"/>
  <c r="S137" i="1" s="1"/>
  <c r="R137" i="1"/>
  <c r="Q138" i="1"/>
  <c r="S138" i="1" s="1"/>
  <c r="R138" i="1"/>
  <c r="Q139" i="1"/>
  <c r="R139" i="1"/>
  <c r="Q140" i="1"/>
  <c r="R140" i="1"/>
  <c r="Q141" i="1"/>
  <c r="R141" i="1"/>
  <c r="Q142" i="1"/>
  <c r="R142" i="1"/>
  <c r="S142" i="1" s="1"/>
  <c r="Q143" i="1"/>
  <c r="R143" i="1"/>
  <c r="Q144" i="1"/>
  <c r="R144" i="1"/>
  <c r="S144" i="1" s="1"/>
  <c r="Q145" i="1"/>
  <c r="S145" i="1" s="1"/>
  <c r="R145" i="1"/>
  <c r="Q146" i="1"/>
  <c r="S146" i="1" s="1"/>
  <c r="R146" i="1"/>
  <c r="Q147" i="1"/>
  <c r="R147" i="1"/>
  <c r="Q148" i="1"/>
  <c r="R148" i="1"/>
  <c r="Q149" i="1"/>
  <c r="R149" i="1"/>
  <c r="Q150" i="1"/>
  <c r="R150" i="1"/>
  <c r="S150" i="1" s="1"/>
  <c r="Q151" i="1"/>
  <c r="R151" i="1"/>
  <c r="Q152" i="1"/>
  <c r="R152" i="1"/>
  <c r="S152" i="1" s="1"/>
  <c r="Q153" i="1"/>
  <c r="S153" i="1" s="1"/>
  <c r="R153" i="1"/>
  <c r="Q154" i="1"/>
  <c r="S154" i="1" s="1"/>
  <c r="R154" i="1"/>
  <c r="Q155" i="1"/>
  <c r="R155" i="1"/>
  <c r="Q156" i="1"/>
  <c r="R156" i="1"/>
  <c r="Q157" i="1"/>
  <c r="R157" i="1"/>
  <c r="Q158" i="1"/>
  <c r="R158" i="1"/>
  <c r="S158" i="1" s="1"/>
  <c r="Q159" i="1"/>
  <c r="R159" i="1"/>
  <c r="Q160" i="1"/>
  <c r="R160" i="1"/>
  <c r="S160" i="1" s="1"/>
  <c r="Q161" i="1"/>
  <c r="S161" i="1" s="1"/>
  <c r="R161" i="1"/>
  <c r="Q162" i="1"/>
  <c r="S162" i="1" s="1"/>
  <c r="R162" i="1"/>
  <c r="Q163" i="1"/>
  <c r="R163" i="1"/>
  <c r="Q164" i="1"/>
  <c r="R164" i="1"/>
  <c r="Q165" i="1"/>
  <c r="R165" i="1"/>
  <c r="Q166" i="1"/>
  <c r="R166" i="1"/>
  <c r="S166" i="1" s="1"/>
  <c r="Q167" i="1"/>
  <c r="R167" i="1"/>
  <c r="Q168" i="1"/>
  <c r="R168" i="1"/>
  <c r="S168" i="1" s="1"/>
  <c r="Q169" i="1"/>
  <c r="S169" i="1" s="1"/>
  <c r="R169" i="1"/>
  <c r="Q170" i="1"/>
  <c r="S170" i="1" s="1"/>
  <c r="R170" i="1"/>
  <c r="Q171" i="1"/>
  <c r="R171" i="1"/>
  <c r="Q172" i="1"/>
  <c r="R172" i="1"/>
  <c r="Q173" i="1"/>
  <c r="R173" i="1"/>
  <c r="Q174" i="1"/>
  <c r="R174" i="1"/>
  <c r="S174" i="1" s="1"/>
  <c r="Q175" i="1"/>
  <c r="R175" i="1"/>
  <c r="Q176" i="1"/>
  <c r="R176" i="1"/>
  <c r="S176" i="1" s="1"/>
  <c r="Q177" i="1"/>
  <c r="S177" i="1" s="1"/>
  <c r="R177" i="1"/>
  <c r="Q178" i="1"/>
  <c r="S178" i="1" s="1"/>
  <c r="R178" i="1"/>
  <c r="Q179" i="1"/>
  <c r="R179" i="1"/>
  <c r="Q180" i="1"/>
  <c r="R180" i="1"/>
  <c r="Q181" i="1"/>
  <c r="R181" i="1"/>
  <c r="Q182" i="1"/>
  <c r="R182" i="1"/>
  <c r="S182" i="1" s="1"/>
  <c r="Q183" i="1"/>
  <c r="R183" i="1"/>
  <c r="Q184" i="1"/>
  <c r="R184" i="1"/>
  <c r="S184" i="1" s="1"/>
  <c r="Q185" i="1"/>
  <c r="S185" i="1" s="1"/>
  <c r="R185" i="1"/>
  <c r="Q186" i="1"/>
  <c r="S186" i="1" s="1"/>
  <c r="R186" i="1"/>
  <c r="Q187" i="1"/>
  <c r="R187" i="1"/>
  <c r="Q188" i="1"/>
  <c r="R188" i="1"/>
  <c r="Q189" i="1"/>
  <c r="R189" i="1"/>
  <c r="Q190" i="1"/>
  <c r="R190" i="1"/>
  <c r="S190" i="1" s="1"/>
  <c r="Q191" i="1"/>
  <c r="R191" i="1"/>
  <c r="Q192" i="1"/>
  <c r="R192" i="1"/>
  <c r="S192" i="1" s="1"/>
  <c r="Q193" i="1"/>
  <c r="S193" i="1" s="1"/>
  <c r="R193" i="1"/>
  <c r="Q194" i="1"/>
  <c r="S194" i="1" s="1"/>
  <c r="R194" i="1"/>
  <c r="Q195" i="1"/>
  <c r="R195" i="1"/>
  <c r="Q196" i="1"/>
  <c r="R196" i="1"/>
  <c r="Q197" i="1"/>
  <c r="R197" i="1"/>
  <c r="Q198" i="1"/>
  <c r="R198" i="1"/>
  <c r="S198" i="1" s="1"/>
  <c r="Q199" i="1"/>
  <c r="R199" i="1"/>
  <c r="S34" i="1"/>
  <c r="S35" i="1"/>
  <c r="S36" i="1"/>
  <c r="S37" i="1"/>
  <c r="S39" i="1"/>
  <c r="S43" i="1"/>
  <c r="S44" i="1"/>
  <c r="S45" i="1"/>
  <c r="S47" i="1"/>
  <c r="S51" i="1"/>
  <c r="S52" i="1"/>
  <c r="S53" i="1"/>
  <c r="S55" i="1"/>
  <c r="S59" i="1"/>
  <c r="S60" i="1"/>
  <c r="S61" i="1"/>
  <c r="S63" i="1"/>
  <c r="S67" i="1"/>
  <c r="S68" i="1"/>
  <c r="S69" i="1"/>
  <c r="S71" i="1"/>
  <c r="S75" i="1"/>
  <c r="S76" i="1"/>
  <c r="S77" i="1"/>
  <c r="S79" i="1"/>
  <c r="S83" i="1"/>
  <c r="S84" i="1"/>
  <c r="S85" i="1"/>
  <c r="S87" i="1"/>
  <c r="S91" i="1"/>
  <c r="S92" i="1"/>
  <c r="S93" i="1"/>
  <c r="S95" i="1"/>
  <c r="S99" i="1"/>
  <c r="S100" i="1"/>
  <c r="S101" i="1"/>
  <c r="S103" i="1"/>
  <c r="S107" i="1"/>
  <c r="S108" i="1"/>
  <c r="S109" i="1"/>
  <c r="S111" i="1"/>
  <c r="S115" i="1"/>
  <c r="S116" i="1"/>
  <c r="S117" i="1"/>
  <c r="S119" i="1"/>
  <c r="S123" i="1"/>
  <c r="S124" i="1"/>
  <c r="S125" i="1"/>
  <c r="S127" i="1"/>
  <c r="S131" i="1"/>
  <c r="S132" i="1"/>
  <c r="S133" i="1"/>
  <c r="S135" i="1"/>
  <c r="S139" i="1"/>
  <c r="S140" i="1"/>
  <c r="S141" i="1"/>
  <c r="S143" i="1"/>
  <c r="S147" i="1"/>
  <c r="S148" i="1"/>
  <c r="S149" i="1"/>
  <c r="S151" i="1"/>
  <c r="S155" i="1"/>
  <c r="S156" i="1"/>
  <c r="S157" i="1"/>
  <c r="S159" i="1"/>
  <c r="S163" i="1"/>
  <c r="S164" i="1"/>
  <c r="S165" i="1"/>
  <c r="S167" i="1"/>
  <c r="S171" i="1"/>
  <c r="S172" i="1"/>
  <c r="S173" i="1"/>
  <c r="S175" i="1"/>
  <c r="S179" i="1"/>
  <c r="S180" i="1"/>
  <c r="S181" i="1"/>
  <c r="S183" i="1"/>
  <c r="S187" i="1"/>
  <c r="S188" i="1"/>
  <c r="S189" i="1"/>
  <c r="S191" i="1"/>
  <c r="S195" i="1"/>
  <c r="S196" i="1"/>
  <c r="S197" i="1"/>
  <c r="S199" i="1"/>
  <c r="H38" i="8"/>
  <c r="R34" i="1"/>
  <c r="Q34" i="1"/>
  <c r="K35" i="8"/>
  <c r="N35" i="8"/>
  <c r="N9" i="8"/>
  <c r="N10" i="8"/>
  <c r="N11" i="8"/>
  <c r="N12" i="8"/>
  <c r="N13" i="8"/>
  <c r="N14" i="8"/>
  <c r="N15" i="8"/>
  <c r="N16" i="8"/>
  <c r="N17" i="8"/>
  <c r="N18" i="8"/>
  <c r="N19" i="8"/>
  <c r="N20" i="8"/>
  <c r="N21" i="8"/>
  <c r="N22" i="8"/>
  <c r="N23" i="8"/>
  <c r="N24" i="8"/>
  <c r="N25" i="8"/>
  <c r="N26" i="8"/>
  <c r="N27" i="8"/>
  <c r="N28" i="8"/>
  <c r="N29" i="8"/>
  <c r="N30" i="8"/>
  <c r="N31" i="8"/>
  <c r="N32" i="8"/>
  <c r="N33" i="8"/>
  <c r="N34" i="8"/>
  <c r="N37" i="8"/>
  <c r="N8" i="8"/>
  <c r="M8" i="8"/>
  <c r="K36" i="8"/>
  <c r="K37" i="8"/>
  <c r="K38" i="8"/>
  <c r="L35" i="8"/>
  <c r="M35" i="8" s="1"/>
  <c r="L36" i="8"/>
  <c r="L37" i="8"/>
  <c r="L38" i="8"/>
  <c r="K2" i="14"/>
  <c r="M2" i="8"/>
  <c r="J2" i="14"/>
  <c r="L2" i="14" s="1"/>
  <c r="I2" i="14"/>
  <c r="L34" i="8"/>
  <c r="M34" i="8" s="1"/>
  <c r="K34" i="8"/>
  <c r="Q29" i="1"/>
  <c r="R29" i="1"/>
  <c r="S29" i="1" s="1"/>
  <c r="Q30" i="1"/>
  <c r="R30" i="1"/>
  <c r="Q31" i="1"/>
  <c r="R31" i="1"/>
  <c r="Q32" i="1"/>
  <c r="R32" i="1"/>
  <c r="S32" i="1" s="1"/>
  <c r="Q33" i="1"/>
  <c r="R33" i="1"/>
  <c r="L33" i="8"/>
  <c r="M33" i="8"/>
  <c r="K33" i="8"/>
  <c r="L32" i="8"/>
  <c r="M32" i="8"/>
  <c r="K32" i="8"/>
  <c r="H32" i="2"/>
  <c r="I32" i="2"/>
  <c r="K32" i="2" s="1"/>
  <c r="H33" i="2"/>
  <c r="I33" i="2"/>
  <c r="H34" i="2"/>
  <c r="I34" i="2"/>
  <c r="H35" i="2"/>
  <c r="I35" i="2"/>
  <c r="H36" i="2"/>
  <c r="I36" i="2"/>
  <c r="H37" i="2"/>
  <c r="I37" i="2"/>
  <c r="H38" i="2"/>
  <c r="I38" i="2"/>
  <c r="K38" i="2" s="1"/>
  <c r="H39" i="2"/>
  <c r="I39" i="2"/>
  <c r="H40" i="2"/>
  <c r="I40" i="2"/>
  <c r="K40" i="2" s="1"/>
  <c r="H41" i="2"/>
  <c r="J41" i="2" s="1"/>
  <c r="I41" i="2"/>
  <c r="H42" i="2"/>
  <c r="J42" i="2" s="1"/>
  <c r="I42" i="2"/>
  <c r="H43" i="2"/>
  <c r="J43" i="2" s="1"/>
  <c r="I43" i="2"/>
  <c r="H44" i="2"/>
  <c r="I44" i="2"/>
  <c r="J44" i="2"/>
  <c r="H45" i="2"/>
  <c r="J45" i="2" s="1"/>
  <c r="I45" i="2"/>
  <c r="H46" i="2"/>
  <c r="J46" i="2" s="1"/>
  <c r="I46" i="2"/>
  <c r="H47" i="2"/>
  <c r="I47" i="2"/>
  <c r="K47" i="2" s="1"/>
  <c r="J47" i="2"/>
  <c r="H48" i="2"/>
  <c r="J48" i="2" s="1"/>
  <c r="I48" i="2"/>
  <c r="H49" i="2"/>
  <c r="J49" i="2" s="1"/>
  <c r="I49" i="2"/>
  <c r="H50" i="2"/>
  <c r="J50" i="2" s="1"/>
  <c r="I50" i="2"/>
  <c r="H51" i="2"/>
  <c r="J51" i="2" s="1"/>
  <c r="I51" i="2"/>
  <c r="H52" i="2"/>
  <c r="I52" i="2"/>
  <c r="J52" i="2"/>
  <c r="H53" i="2"/>
  <c r="J53" i="2" s="1"/>
  <c r="I53" i="2"/>
  <c r="H54" i="2"/>
  <c r="I54" i="2"/>
  <c r="J54" i="2" s="1"/>
  <c r="H55" i="2"/>
  <c r="I55" i="2"/>
  <c r="K55" i="2" s="1"/>
  <c r="J55" i="2"/>
  <c r="H56" i="2"/>
  <c r="J56" i="2" s="1"/>
  <c r="I56" i="2"/>
  <c r="H57" i="2"/>
  <c r="J57" i="2" s="1"/>
  <c r="I57" i="2"/>
  <c r="H58" i="2"/>
  <c r="J58" i="2" s="1"/>
  <c r="I58" i="2"/>
  <c r="H59" i="2"/>
  <c r="J59" i="2" s="1"/>
  <c r="I59" i="2"/>
  <c r="H60" i="2"/>
  <c r="I60" i="2"/>
  <c r="J60" i="2"/>
  <c r="H61" i="2"/>
  <c r="J61" i="2" s="1"/>
  <c r="I61" i="2"/>
  <c r="H62" i="2"/>
  <c r="I62" i="2"/>
  <c r="J62" i="2" s="1"/>
  <c r="H63" i="2"/>
  <c r="I63" i="2"/>
  <c r="K63" i="2" s="1"/>
  <c r="J63" i="2"/>
  <c r="H64" i="2"/>
  <c r="J64" i="2" s="1"/>
  <c r="I64" i="2"/>
  <c r="H65" i="2"/>
  <c r="J65" i="2" s="1"/>
  <c r="I65" i="2"/>
  <c r="H66" i="2"/>
  <c r="J66" i="2" s="1"/>
  <c r="I66" i="2"/>
  <c r="H67" i="2"/>
  <c r="J67" i="2" s="1"/>
  <c r="I67" i="2"/>
  <c r="H68" i="2"/>
  <c r="I68" i="2"/>
  <c r="J68" i="2"/>
  <c r="H69" i="2"/>
  <c r="J69" i="2" s="1"/>
  <c r="I69" i="2"/>
  <c r="H70" i="2"/>
  <c r="I70" i="2"/>
  <c r="J70" i="2" s="1"/>
  <c r="H71" i="2"/>
  <c r="I71" i="2"/>
  <c r="K71" i="2" s="1"/>
  <c r="J71" i="2"/>
  <c r="H72" i="2"/>
  <c r="J72" i="2" s="1"/>
  <c r="I72" i="2"/>
  <c r="K43" i="2"/>
  <c r="K44" i="2"/>
  <c r="K45" i="2"/>
  <c r="K46" i="2"/>
  <c r="K48" i="2"/>
  <c r="K49" i="2"/>
  <c r="K51" i="2"/>
  <c r="K52" i="2"/>
  <c r="K53" i="2"/>
  <c r="K54" i="2"/>
  <c r="K56" i="2"/>
  <c r="K57" i="2"/>
  <c r="K59" i="2"/>
  <c r="K60" i="2"/>
  <c r="K61" i="2"/>
  <c r="K62" i="2"/>
  <c r="K64" i="2"/>
  <c r="K65" i="2"/>
  <c r="K67" i="2"/>
  <c r="K68" i="2"/>
  <c r="K69" i="2"/>
  <c r="K70" i="2"/>
  <c r="K72" i="2"/>
  <c r="H31" i="2"/>
  <c r="J31" i="2" s="1"/>
  <c r="K31" i="2"/>
  <c r="I31" i="2"/>
  <c r="R28" i="1"/>
  <c r="Q28" i="1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2" i="2"/>
  <c r="P3" i="10"/>
  <c r="P4" i="10"/>
  <c r="P5" i="10"/>
  <c r="P6" i="10"/>
  <c r="P7" i="10"/>
  <c r="P9" i="10"/>
  <c r="P10" i="10"/>
  <c r="P11" i="10"/>
  <c r="P12" i="10"/>
  <c r="P13" i="10"/>
  <c r="P14" i="10"/>
  <c r="P15" i="10"/>
  <c r="P16" i="10"/>
  <c r="P17" i="10"/>
  <c r="P18" i="10"/>
  <c r="P19" i="10"/>
  <c r="P2" i="10"/>
  <c r="N3" i="8"/>
  <c r="N4" i="8"/>
  <c r="N5" i="8"/>
  <c r="N6" i="8"/>
  <c r="N7" i="8"/>
  <c r="N2" i="8"/>
  <c r="H30" i="2"/>
  <c r="I30" i="2"/>
  <c r="H29" i="2"/>
  <c r="I29" i="2"/>
  <c r="H28" i="2"/>
  <c r="I28" i="2"/>
  <c r="M3" i="10"/>
  <c r="O3" i="10" s="1"/>
  <c r="N3" i="10"/>
  <c r="M4" i="10"/>
  <c r="N4" i="10"/>
  <c r="M5" i="10"/>
  <c r="N5" i="10"/>
  <c r="M6" i="10"/>
  <c r="N6" i="10"/>
  <c r="M7" i="10"/>
  <c r="N7" i="10"/>
  <c r="M8" i="10"/>
  <c r="N8" i="10"/>
  <c r="M9" i="10"/>
  <c r="N9" i="10"/>
  <c r="M10" i="10"/>
  <c r="O10" i="10" s="1"/>
  <c r="N10" i="10"/>
  <c r="M11" i="10"/>
  <c r="O11" i="10" s="1"/>
  <c r="N11" i="10"/>
  <c r="M12" i="10"/>
  <c r="O12" i="10" s="1"/>
  <c r="N12" i="10"/>
  <c r="M13" i="10"/>
  <c r="O13" i="10" s="1"/>
  <c r="N13" i="10"/>
  <c r="M14" i="10"/>
  <c r="O14" i="10" s="1"/>
  <c r="N14" i="10"/>
  <c r="M15" i="10"/>
  <c r="O15" i="10" s="1"/>
  <c r="N15" i="10"/>
  <c r="M16" i="10"/>
  <c r="O16" i="10" s="1"/>
  <c r="N16" i="10"/>
  <c r="M17" i="10"/>
  <c r="O17" i="10" s="1"/>
  <c r="N17" i="10"/>
  <c r="M18" i="10"/>
  <c r="O18" i="10" s="1"/>
  <c r="N18" i="10"/>
  <c r="M19" i="10"/>
  <c r="O19" i="10" s="1"/>
  <c r="N19" i="10"/>
  <c r="C3" i="10"/>
  <c r="M2" i="10"/>
  <c r="N2" i="10"/>
  <c r="L31" i="8"/>
  <c r="K31" i="8"/>
  <c r="L30" i="8"/>
  <c r="K30" i="8"/>
  <c r="H27" i="2"/>
  <c r="I27" i="2"/>
  <c r="H26" i="2"/>
  <c r="I26" i="2"/>
  <c r="L29" i="8"/>
  <c r="M29" i="8" s="1"/>
  <c r="K29" i="8"/>
  <c r="H25" i="2"/>
  <c r="I25" i="2"/>
  <c r="H24" i="2"/>
  <c r="I24" i="2"/>
  <c r="N38" i="8" l="1"/>
  <c r="K41" i="2"/>
  <c r="J40" i="2"/>
  <c r="N36" i="8"/>
  <c r="M36" i="8"/>
  <c r="M38" i="8"/>
  <c r="M37" i="8"/>
  <c r="S31" i="1"/>
  <c r="K39" i="2"/>
  <c r="J38" i="2"/>
  <c r="K37" i="2"/>
  <c r="J36" i="2"/>
  <c r="K36" i="2"/>
  <c r="J35" i="2"/>
  <c r="K35" i="2"/>
  <c r="J34" i="2"/>
  <c r="O9" i="10"/>
  <c r="J33" i="2"/>
  <c r="K33" i="2"/>
  <c r="M30" i="8"/>
  <c r="O8" i="10"/>
  <c r="P8" i="10"/>
  <c r="J32" i="2"/>
  <c r="J39" i="2"/>
  <c r="K66" i="2"/>
  <c r="K58" i="2"/>
  <c r="K34" i="2"/>
  <c r="K42" i="2"/>
  <c r="K50" i="2"/>
  <c r="J37" i="2"/>
  <c r="O7" i="10"/>
  <c r="O6" i="10"/>
  <c r="K28" i="2"/>
  <c r="K24" i="2"/>
  <c r="K25" i="2"/>
  <c r="K30" i="2"/>
  <c r="K29" i="2"/>
  <c r="O5" i="10"/>
  <c r="O4" i="10"/>
  <c r="O2" i="10"/>
  <c r="M31" i="8"/>
  <c r="K27" i="2"/>
  <c r="K26" i="2"/>
  <c r="L25" i="8"/>
  <c r="L26" i="8"/>
  <c r="L27" i="8"/>
  <c r="L28" i="8"/>
  <c r="K25" i="8"/>
  <c r="K26" i="8"/>
  <c r="K27" i="8"/>
  <c r="K28" i="8"/>
  <c r="L24" i="8" l="1"/>
  <c r="G24" i="8"/>
  <c r="K24" i="8" s="1"/>
  <c r="H23" i="2" l="1"/>
  <c r="I23" i="2"/>
  <c r="K23" i="2" l="1"/>
  <c r="H22" i="2"/>
  <c r="I22" i="2"/>
  <c r="H21" i="2"/>
  <c r="I21" i="2"/>
  <c r="K22" i="2" l="1"/>
  <c r="K21" i="2"/>
  <c r="H17" i="8"/>
  <c r="K12" i="8" l="1"/>
  <c r="L12" i="8"/>
  <c r="K13" i="8"/>
  <c r="L13" i="8"/>
  <c r="K14" i="8"/>
  <c r="L14" i="8"/>
  <c r="K15" i="8"/>
  <c r="L15" i="8"/>
  <c r="K16" i="8"/>
  <c r="L16" i="8"/>
  <c r="K17" i="8"/>
  <c r="L17" i="8"/>
  <c r="K18" i="8"/>
  <c r="L18" i="8"/>
  <c r="K19" i="8"/>
  <c r="L19" i="8"/>
  <c r="K20" i="8"/>
  <c r="L20" i="8"/>
  <c r="K21" i="8"/>
  <c r="L21" i="8"/>
  <c r="K22" i="8"/>
  <c r="L22" i="8"/>
  <c r="K23" i="8"/>
  <c r="L23" i="8"/>
  <c r="M26" i="8"/>
  <c r="M27" i="8"/>
  <c r="M28" i="8"/>
  <c r="M12" i="8" l="1"/>
  <c r="M25" i="8"/>
  <c r="M23" i="8"/>
  <c r="M22" i="8"/>
  <c r="M21" i="8"/>
  <c r="M20" i="8"/>
  <c r="M19" i="8"/>
  <c r="M18" i="8"/>
  <c r="M17" i="8"/>
  <c r="M16" i="8"/>
  <c r="M15" i="8"/>
  <c r="M24" i="8"/>
  <c r="M14" i="8"/>
  <c r="M13" i="8"/>
  <c r="L11" i="8"/>
  <c r="K11" i="8"/>
  <c r="K9" i="8" l="1"/>
  <c r="L9" i="8"/>
  <c r="K10" i="8"/>
  <c r="L10" i="8"/>
  <c r="L8" i="8"/>
  <c r="K8" i="8"/>
  <c r="M11" i="8" l="1"/>
  <c r="M10" i="8"/>
  <c r="M9" i="8"/>
  <c r="H20" i="2"/>
  <c r="I20" i="2"/>
  <c r="K20" i="2" l="1"/>
  <c r="M3" i="8"/>
  <c r="M4" i="8"/>
  <c r="M5" i="8"/>
  <c r="M6" i="8"/>
  <c r="M7" i="8"/>
  <c r="H19" i="2" l="1"/>
  <c r="I19" i="2"/>
  <c r="H18" i="2"/>
  <c r="I18" i="2"/>
  <c r="K19" i="2" l="1"/>
  <c r="K18" i="2"/>
  <c r="Q8" i="3"/>
  <c r="Q11" i="1" l="1"/>
  <c r="H5" i="1" l="1"/>
  <c r="H10" i="2" l="1"/>
  <c r="G2" i="6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N6" i="3" l="1"/>
  <c r="L5" i="3"/>
  <c r="Q3" i="3" l="1"/>
  <c r="R3" i="3"/>
  <c r="Q4" i="3"/>
  <c r="R4" i="3"/>
  <c r="Q5" i="3"/>
  <c r="R5" i="3"/>
  <c r="Q6" i="3"/>
  <c r="R6" i="3"/>
  <c r="Q7" i="3"/>
  <c r="R7" i="3"/>
  <c r="R8" i="3"/>
  <c r="Q9" i="3"/>
  <c r="R9" i="3"/>
  <c r="Q10" i="3"/>
  <c r="R10" i="3"/>
  <c r="Q11" i="3"/>
  <c r="S11" i="3" s="1"/>
  <c r="R11" i="3"/>
  <c r="Q12" i="3"/>
  <c r="S12" i="3" s="1"/>
  <c r="R12" i="3"/>
  <c r="Q13" i="3"/>
  <c r="R13" i="3"/>
  <c r="S13" i="3" s="1"/>
  <c r="Q14" i="3"/>
  <c r="R14" i="3"/>
  <c r="Q15" i="3"/>
  <c r="S15" i="3" s="1"/>
  <c r="R15" i="3"/>
  <c r="Q16" i="3"/>
  <c r="S16" i="3" s="1"/>
  <c r="R16" i="3"/>
  <c r="Q17" i="3"/>
  <c r="R17" i="3"/>
  <c r="Q18" i="3"/>
  <c r="R18" i="3"/>
  <c r="Q19" i="3"/>
  <c r="S19" i="3" s="1"/>
  <c r="R19" i="3"/>
  <c r="Q20" i="3"/>
  <c r="S20" i="3" s="1"/>
  <c r="R20" i="3"/>
  <c r="Q21" i="3"/>
  <c r="R21" i="3"/>
  <c r="Q22" i="3"/>
  <c r="R22" i="3"/>
  <c r="S22" i="3"/>
  <c r="Q23" i="3"/>
  <c r="R23" i="3"/>
  <c r="Q24" i="3"/>
  <c r="R24" i="3"/>
  <c r="Q25" i="3"/>
  <c r="S25" i="3" s="1"/>
  <c r="R25" i="3"/>
  <c r="Q26" i="3"/>
  <c r="R26" i="3"/>
  <c r="Q27" i="3"/>
  <c r="R27" i="3"/>
  <c r="R2" i="3"/>
  <c r="Q2" i="3"/>
  <c r="S26" i="3" l="1"/>
  <c r="S18" i="3"/>
  <c r="S14" i="3"/>
  <c r="S10" i="3"/>
  <c r="S17" i="3"/>
  <c r="S24" i="3"/>
  <c r="S27" i="3"/>
  <c r="S23" i="3"/>
  <c r="S9" i="3"/>
  <c r="S21" i="3"/>
  <c r="S8" i="3"/>
  <c r="S7" i="3"/>
  <c r="S6" i="3"/>
  <c r="S5" i="3"/>
  <c r="S4" i="3"/>
  <c r="S3" i="3"/>
  <c r="S2" i="3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" i="1"/>
  <c r="Q3" i="1"/>
  <c r="S3" i="1" s="1"/>
  <c r="Q4" i="1"/>
  <c r="Q5" i="1"/>
  <c r="Q6" i="1"/>
  <c r="Q7" i="1"/>
  <c r="Q8" i="1"/>
  <c r="Q9" i="1"/>
  <c r="Q10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" i="1"/>
  <c r="S2" i="1" s="1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H3" i="2"/>
  <c r="H4" i="2"/>
  <c r="H5" i="2"/>
  <c r="H6" i="2"/>
  <c r="H7" i="2"/>
  <c r="H8" i="2"/>
  <c r="H9" i="2"/>
  <c r="H11" i="2"/>
  <c r="H12" i="2"/>
  <c r="H13" i="2"/>
  <c r="H14" i="2"/>
  <c r="H15" i="2"/>
  <c r="H16" i="2"/>
  <c r="H17" i="2"/>
  <c r="H2" i="2"/>
  <c r="I2" i="2"/>
  <c r="S27" i="1" l="1"/>
  <c r="K2" i="2"/>
  <c r="S26" i="1"/>
  <c r="S25" i="1"/>
  <c r="K3" i="2"/>
  <c r="S18" i="1"/>
  <c r="S17" i="1"/>
  <c r="S21" i="1"/>
  <c r="S16" i="1"/>
  <c r="S14" i="1"/>
  <c r="K17" i="2"/>
  <c r="K16" i="2"/>
  <c r="S12" i="1"/>
  <c r="S11" i="1"/>
  <c r="K15" i="2"/>
  <c r="K14" i="2"/>
  <c r="S9" i="1"/>
  <c r="K13" i="2"/>
  <c r="K12" i="2"/>
  <c r="S8" i="1"/>
  <c r="S5" i="1"/>
  <c r="K11" i="2"/>
  <c r="K10" i="2"/>
  <c r="S4" i="1"/>
  <c r="K9" i="2"/>
  <c r="K8" i="2"/>
  <c r="K7" i="2"/>
  <c r="K6" i="2"/>
  <c r="K5" i="2"/>
  <c r="K4" i="2"/>
</calcChain>
</file>

<file path=xl/sharedStrings.xml><?xml version="1.0" encoding="utf-8"?>
<sst xmlns="http://schemas.openxmlformats.org/spreadsheetml/2006/main" count="343" uniqueCount="109">
  <si>
    <t>K-Blue</t>
  </si>
  <si>
    <t>K-Green</t>
  </si>
  <si>
    <t>K-Yellow</t>
  </si>
  <si>
    <t>K-Purple</t>
  </si>
  <si>
    <t>K-Wonders</t>
  </si>
  <si>
    <t>K-Science</t>
  </si>
  <si>
    <t>K-Money</t>
  </si>
  <si>
    <t>K-Military</t>
  </si>
  <si>
    <t>E-Blue</t>
  </si>
  <si>
    <t>E-Green</t>
  </si>
  <si>
    <t>E-Yellow</t>
  </si>
  <si>
    <t>E-Purple</t>
  </si>
  <si>
    <t>E-Wonders</t>
  </si>
  <si>
    <t>E-Science</t>
  </si>
  <si>
    <t>E-Money</t>
  </si>
  <si>
    <t>E-Military</t>
  </si>
  <si>
    <t>Kathleen</t>
  </si>
  <si>
    <t>Emily</t>
  </si>
  <si>
    <t>Winner</t>
  </si>
  <si>
    <t>K-buttons</t>
  </si>
  <si>
    <t>E-buttons</t>
  </si>
  <si>
    <t>E-spaces</t>
  </si>
  <si>
    <t>K-spaces</t>
  </si>
  <si>
    <t>K-special</t>
  </si>
  <si>
    <t>E-special</t>
  </si>
  <si>
    <t>Difference</t>
  </si>
  <si>
    <t>Military victory</t>
  </si>
  <si>
    <t>Science victory</t>
  </si>
  <si>
    <t>K-cards</t>
  </si>
  <si>
    <t>E-cards</t>
  </si>
  <si>
    <t>K-nobles</t>
  </si>
  <si>
    <t>E-nobles</t>
  </si>
  <si>
    <t>K-points</t>
  </si>
  <si>
    <t>E-points</t>
  </si>
  <si>
    <t>Kathleen-military</t>
  </si>
  <si>
    <t>Kathleen-science</t>
  </si>
  <si>
    <t>Emily-points</t>
  </si>
  <si>
    <t>Kathleen-points</t>
  </si>
  <si>
    <t>Game</t>
  </si>
  <si>
    <t>First</t>
  </si>
  <si>
    <t xml:space="preserve">First </t>
  </si>
  <si>
    <t>E-endgame</t>
  </si>
  <si>
    <t>K-endgame</t>
  </si>
  <si>
    <t>K-total</t>
  </si>
  <si>
    <t>E-total</t>
  </si>
  <si>
    <t>K-fields</t>
  </si>
  <si>
    <t>E-fields</t>
  </si>
  <si>
    <t>Emily-science</t>
  </si>
  <si>
    <t>E-Trade</t>
  </si>
  <si>
    <t>K-Trade</t>
  </si>
  <si>
    <t>E-score</t>
  </si>
  <si>
    <t>K-score</t>
  </si>
  <si>
    <t>E-complete</t>
  </si>
  <si>
    <t>K-complete</t>
  </si>
  <si>
    <t>E-incomplete</t>
  </si>
  <si>
    <t>K-incomplete</t>
  </si>
  <si>
    <t>E-bonus</t>
  </si>
  <si>
    <t>K-bonus</t>
  </si>
  <si>
    <t>E-station</t>
  </si>
  <si>
    <t>K-station</t>
  </si>
  <si>
    <t>No</t>
  </si>
  <si>
    <t>Emily-military</t>
  </si>
  <si>
    <t>K-crowns</t>
  </si>
  <si>
    <t>E-crowns</t>
  </si>
  <si>
    <t>K-highest</t>
  </si>
  <si>
    <t>E-highest</t>
  </si>
  <si>
    <t>K-gold</t>
  </si>
  <si>
    <t>E-gold</t>
  </si>
  <si>
    <t>Player</t>
  </si>
  <si>
    <t>Word</t>
  </si>
  <si>
    <t>Score</t>
  </si>
  <si>
    <t>Sum of Score</t>
  </si>
  <si>
    <t>Column Labels</t>
  </si>
  <si>
    <t>Grand Total</t>
  </si>
  <si>
    <t>Row Labels</t>
  </si>
  <si>
    <t>Length</t>
  </si>
  <si>
    <t>round</t>
  </si>
  <si>
    <t>blind</t>
  </si>
  <si>
    <t>nadir</t>
  </si>
  <si>
    <t>drug</t>
  </si>
  <si>
    <t>evil</t>
  </si>
  <si>
    <t>tone</t>
  </si>
  <si>
    <t>toy</t>
  </si>
  <si>
    <t>Words</t>
  </si>
  <si>
    <t>oft go</t>
  </si>
  <si>
    <t>opted</t>
  </si>
  <si>
    <t>rat</t>
  </si>
  <si>
    <t>chit</t>
  </si>
  <si>
    <t>comet</t>
  </si>
  <si>
    <t>fa fib</t>
  </si>
  <si>
    <t>jewel jo em we et</t>
  </si>
  <si>
    <t>rouls comets</t>
  </si>
  <si>
    <t>rounders</t>
  </si>
  <si>
    <t>rawer</t>
  </si>
  <si>
    <t>ow ow</t>
  </si>
  <si>
    <t>lichen</t>
  </si>
  <si>
    <t>haze</t>
  </si>
  <si>
    <t>zo</t>
  </si>
  <si>
    <t>quilt</t>
  </si>
  <si>
    <t>yes quilts</t>
  </si>
  <si>
    <t>ya av ev</t>
  </si>
  <si>
    <t>niggle eyes</t>
  </si>
  <si>
    <t>spear</t>
  </si>
  <si>
    <t>xi is</t>
  </si>
  <si>
    <t>mot fat</t>
  </si>
  <si>
    <t>is sink</t>
  </si>
  <si>
    <t>qi</t>
  </si>
  <si>
    <t>fa ae</t>
  </si>
  <si>
    <t>aha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</si>
</sst>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6" fillId="0" borderId="0" xfId="0" applyFont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ily N" refreshedDate="46277.875467592596" createdVersion="8" refreshedVersion="8" minRefreshableVersion="3" recordCount="61" xr:uid="{BC414F71-A852-42CD-B5C9-BB00B476282E}">
  <cacheSource type="worksheet">
    <worksheetSource ref="A1:D1048576" sheet="Scrabble"/>
  </cacheSource>
  <cacheFields count="4">
    <cacheField name="Game" numFmtId="0">
      <sharedItems containsString="0" containsBlank="1" containsNumber="1" containsInteger="1" minValue="1" maxValue="2" count="3">
        <n v="1"/>
        <n v="2"/>
        <m/>
      </sharedItems>
    </cacheField>
    <cacheField name="Player" numFmtId="0">
      <sharedItems containsBlank="1" count="3">
        <s v="Kathleen"/>
        <s v="Emily"/>
        <m/>
      </sharedItems>
    </cacheField>
    <cacheField name="Word" numFmtId="0">
      <sharedItems containsBlank="1"/>
    </cacheField>
    <cacheField name="Score" numFmtId="0">
      <sharedItems containsString="0" containsBlank="1" containsNumber="1" containsInteger="1" minValue="-1" maxValue="5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1">
  <r>
    <x v="0"/>
    <x v="0"/>
    <s v="round"/>
    <n v="8"/>
  </r>
  <r>
    <x v="0"/>
    <x v="1"/>
    <s v="blind"/>
    <n v="16"/>
  </r>
  <r>
    <x v="0"/>
    <x v="0"/>
    <s v="nadir"/>
    <n v="12"/>
  </r>
  <r>
    <x v="0"/>
    <x v="1"/>
    <s v="drug"/>
    <n v="12"/>
  </r>
  <r>
    <x v="0"/>
    <x v="0"/>
    <s v="evil"/>
    <n v="14"/>
  </r>
  <r>
    <x v="0"/>
    <x v="1"/>
    <s v="tone"/>
    <n v="8"/>
  </r>
  <r>
    <x v="0"/>
    <x v="0"/>
    <s v="toy"/>
    <n v="18"/>
  </r>
  <r>
    <x v="0"/>
    <x v="1"/>
    <s v="oft go"/>
    <n v="18"/>
  </r>
  <r>
    <x v="0"/>
    <x v="0"/>
    <s v="opted"/>
    <n v="33"/>
  </r>
  <r>
    <x v="0"/>
    <x v="1"/>
    <s v="rat"/>
    <n v="3"/>
  </r>
  <r>
    <x v="0"/>
    <x v="0"/>
    <s v="chit"/>
    <n v="17"/>
  </r>
  <r>
    <x v="0"/>
    <x v="1"/>
    <s v="comet"/>
    <n v="18"/>
  </r>
  <r>
    <x v="0"/>
    <x v="0"/>
    <s v="fa fib"/>
    <n v="21"/>
  </r>
  <r>
    <x v="0"/>
    <x v="1"/>
    <s v="jewel jo em we et"/>
    <n v="54"/>
  </r>
  <r>
    <x v="0"/>
    <x v="0"/>
    <s v="rouls comets"/>
    <n v="25"/>
  </r>
  <r>
    <x v="0"/>
    <x v="1"/>
    <s v="rounders"/>
    <n v="24"/>
  </r>
  <r>
    <x v="0"/>
    <x v="0"/>
    <s v="rawer"/>
    <n v="16"/>
  </r>
  <r>
    <x v="0"/>
    <x v="1"/>
    <s v="ow ow"/>
    <n v="20"/>
  </r>
  <r>
    <x v="0"/>
    <x v="0"/>
    <s v="lichen"/>
    <n v="24"/>
  </r>
  <r>
    <x v="0"/>
    <x v="1"/>
    <s v="haze"/>
    <n v="36"/>
  </r>
  <r>
    <x v="0"/>
    <x v="0"/>
    <s v="zo"/>
    <n v="16"/>
  </r>
  <r>
    <x v="0"/>
    <x v="1"/>
    <s v="quilt"/>
    <n v="24"/>
  </r>
  <r>
    <x v="0"/>
    <x v="0"/>
    <s v="yes quilts"/>
    <n v="29"/>
  </r>
  <r>
    <x v="0"/>
    <x v="1"/>
    <s v="ya av ev"/>
    <n v="23"/>
  </r>
  <r>
    <x v="0"/>
    <x v="0"/>
    <s v="niggle eyes"/>
    <n v="37"/>
  </r>
  <r>
    <x v="0"/>
    <x v="1"/>
    <s v="spear"/>
    <n v="13"/>
  </r>
  <r>
    <x v="0"/>
    <x v="0"/>
    <s v="xi is"/>
    <n v="29"/>
  </r>
  <r>
    <x v="0"/>
    <x v="1"/>
    <s v="mot fat"/>
    <n v="16"/>
  </r>
  <r>
    <x v="0"/>
    <x v="0"/>
    <s v="is sink"/>
    <n v="20"/>
  </r>
  <r>
    <x v="0"/>
    <x v="1"/>
    <s v="qi"/>
    <n v="11"/>
  </r>
  <r>
    <x v="0"/>
    <x v="0"/>
    <s v="fa ae"/>
    <n v="14"/>
  </r>
  <r>
    <x v="0"/>
    <x v="1"/>
    <s v="aha"/>
    <n v="2"/>
  </r>
  <r>
    <x v="0"/>
    <x v="0"/>
    <m/>
    <n v="-1"/>
  </r>
  <r>
    <x v="0"/>
    <x v="1"/>
    <m/>
    <m/>
  </r>
  <r>
    <x v="1"/>
    <x v="0"/>
    <m/>
    <m/>
  </r>
  <r>
    <x v="1"/>
    <x v="1"/>
    <m/>
    <m/>
  </r>
  <r>
    <x v="1"/>
    <x v="0"/>
    <m/>
    <m/>
  </r>
  <r>
    <x v="1"/>
    <x v="1"/>
    <m/>
    <m/>
  </r>
  <r>
    <x v="1"/>
    <x v="0"/>
    <m/>
    <m/>
  </r>
  <r>
    <x v="1"/>
    <x v="1"/>
    <m/>
    <m/>
  </r>
  <r>
    <x v="1"/>
    <x v="0"/>
    <m/>
    <m/>
  </r>
  <r>
    <x v="1"/>
    <x v="1"/>
    <m/>
    <m/>
  </r>
  <r>
    <x v="1"/>
    <x v="0"/>
    <m/>
    <m/>
  </r>
  <r>
    <x v="1"/>
    <x v="1"/>
    <m/>
    <m/>
  </r>
  <r>
    <x v="1"/>
    <x v="0"/>
    <m/>
    <m/>
  </r>
  <r>
    <x v="1"/>
    <x v="1"/>
    <m/>
    <m/>
  </r>
  <r>
    <x v="1"/>
    <x v="0"/>
    <m/>
    <m/>
  </r>
  <r>
    <x v="1"/>
    <x v="1"/>
    <m/>
    <m/>
  </r>
  <r>
    <x v="1"/>
    <x v="0"/>
    <m/>
    <m/>
  </r>
  <r>
    <x v="1"/>
    <x v="1"/>
    <m/>
    <m/>
  </r>
  <r>
    <x v="1"/>
    <x v="0"/>
    <m/>
    <m/>
  </r>
  <r>
    <x v="1"/>
    <x v="1"/>
    <m/>
    <m/>
  </r>
  <r>
    <x v="1"/>
    <x v="0"/>
    <m/>
    <m/>
  </r>
  <r>
    <x v="1"/>
    <x v="1"/>
    <m/>
    <m/>
  </r>
  <r>
    <x v="1"/>
    <x v="0"/>
    <m/>
    <m/>
  </r>
  <r>
    <x v="1"/>
    <x v="1"/>
    <m/>
    <m/>
  </r>
  <r>
    <x v="1"/>
    <x v="0"/>
    <m/>
    <m/>
  </r>
  <r>
    <x v="1"/>
    <x v="1"/>
    <m/>
    <m/>
  </r>
  <r>
    <x v="1"/>
    <x v="0"/>
    <m/>
    <m/>
  </r>
  <r>
    <x v="1"/>
    <x v="1"/>
    <m/>
    <m/>
  </r>
  <r>
    <x v="2"/>
    <x v="2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6879278-56FD-469F-B5C0-21B7F2DB3D54}" name="PivotTable1" cacheId="3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H5:K9" firstHeaderRow="1" firstDataRow="2" firstDataCol="1"/>
  <pivotFields count="4">
    <pivotField axis="axisRow" showAll="0">
      <items count="4">
        <item x="0"/>
        <item x="1"/>
        <item x="2"/>
        <item t="default"/>
      </items>
    </pivotField>
    <pivotField axis="axisCol" showAll="0">
      <items count="4">
        <item x="1"/>
        <item x="0"/>
        <item h="1" x="2"/>
        <item t="default"/>
      </items>
    </pivotField>
    <pivotField showAll="0"/>
    <pivotField dataField="1" showAll="0"/>
  </pivotFields>
  <rowFields count="1">
    <field x="0"/>
  </rowFields>
  <rowItems count="3">
    <i>
      <x/>
    </i>
    <i>
      <x v="1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Sum of Score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99"/>
  <sheetViews>
    <sheetView zoomScale="79" workbookViewId="0">
      <pane ySplit="1" topLeftCell="A2" activePane="bottomLeft" state="frozen"/>
      <selection pane="bottomLeft" activeCell="Q34" sqref="Q34"/>
    </sheetView>
  </sheetViews>
  <sheetFormatPr defaultRowHeight="14.5" x14ac:dyDescent="0.35"/>
  <cols>
    <col min="19" max="19" width="28.7265625" customWidth="1"/>
  </cols>
  <sheetData>
    <row r="1" spans="1:20" s="1" customFormat="1" x14ac:dyDescent="0.35">
      <c r="A1" s="1" t="s">
        <v>0</v>
      </c>
      <c r="B1" s="1" t="s">
        <v>8</v>
      </c>
      <c r="C1" s="1" t="s">
        <v>1</v>
      </c>
      <c r="D1" s="1" t="s">
        <v>9</v>
      </c>
      <c r="E1" s="1" t="s">
        <v>2</v>
      </c>
      <c r="F1" s="1" t="s">
        <v>10</v>
      </c>
      <c r="G1" s="1" t="s">
        <v>3</v>
      </c>
      <c r="H1" s="1" t="s">
        <v>11</v>
      </c>
      <c r="I1" s="1" t="s">
        <v>4</v>
      </c>
      <c r="J1" s="1" t="s">
        <v>12</v>
      </c>
      <c r="K1" s="1" t="s">
        <v>5</v>
      </c>
      <c r="L1" s="1" t="s">
        <v>13</v>
      </c>
      <c r="M1" s="1" t="s">
        <v>6</v>
      </c>
      <c r="N1" s="1" t="s">
        <v>14</v>
      </c>
      <c r="O1" s="1" t="s">
        <v>7</v>
      </c>
      <c r="P1" s="1" t="s">
        <v>15</v>
      </c>
      <c r="Q1" s="1" t="s">
        <v>16</v>
      </c>
      <c r="R1" s="1" t="s">
        <v>17</v>
      </c>
      <c r="S1" s="1" t="s">
        <v>18</v>
      </c>
      <c r="T1" t="s">
        <v>38</v>
      </c>
    </row>
    <row r="2" spans="1:20" x14ac:dyDescent="0.35">
      <c r="A2">
        <v>35</v>
      </c>
      <c r="B2">
        <v>28</v>
      </c>
      <c r="C2">
        <v>0</v>
      </c>
      <c r="D2">
        <v>5</v>
      </c>
      <c r="E2">
        <v>6</v>
      </c>
      <c r="F2">
        <v>6</v>
      </c>
      <c r="G2">
        <v>16</v>
      </c>
      <c r="H2">
        <v>0</v>
      </c>
      <c r="I2">
        <v>12</v>
      </c>
      <c r="J2">
        <v>7</v>
      </c>
      <c r="K2">
        <v>0</v>
      </c>
      <c r="L2">
        <v>7</v>
      </c>
      <c r="M2">
        <v>2</v>
      </c>
      <c r="N2">
        <v>21</v>
      </c>
      <c r="O2">
        <v>2</v>
      </c>
      <c r="P2">
        <v>0</v>
      </c>
      <c r="Q2">
        <f>SUM(A2,C2,E2,G2,I2,K2,M2,O2)</f>
        <v>73</v>
      </c>
      <c r="R2">
        <f>SUM(B2,D2,F2,H2,J2,L2,N2,P2)</f>
        <v>74</v>
      </c>
      <c r="S2" t="str">
        <f>IF(Q2&lt;R2, "Emily", "Kathleen")</f>
        <v>Emily</v>
      </c>
      <c r="T2">
        <v>1</v>
      </c>
    </row>
    <row r="3" spans="1:20" x14ac:dyDescent="0.35">
      <c r="A3">
        <v>42</v>
      </c>
      <c r="B3">
        <v>20</v>
      </c>
      <c r="C3">
        <v>0</v>
      </c>
      <c r="D3">
        <v>10</v>
      </c>
      <c r="E3">
        <v>0</v>
      </c>
      <c r="F3">
        <v>3</v>
      </c>
      <c r="G3">
        <v>0</v>
      </c>
      <c r="H3">
        <v>8</v>
      </c>
      <c r="I3">
        <v>15</v>
      </c>
      <c r="J3">
        <v>7</v>
      </c>
      <c r="K3">
        <v>0</v>
      </c>
      <c r="L3">
        <v>7</v>
      </c>
      <c r="M3">
        <v>4</v>
      </c>
      <c r="N3">
        <v>13</v>
      </c>
      <c r="O3">
        <v>0</v>
      </c>
      <c r="P3">
        <v>0</v>
      </c>
      <c r="Q3">
        <f t="shared" ref="Q3:Q28" si="0">SUM(A3,C3,E3,G3,I3,K3,M3,O3)</f>
        <v>61</v>
      </c>
      <c r="R3">
        <f t="shared" ref="R3:R28" si="1">SUM(B3,D3,F3,H3,J3,L3,N3,P3)</f>
        <v>68</v>
      </c>
      <c r="S3" t="str">
        <f t="shared" ref="S3:S66" si="2">IF(Q3&lt;R3, "Emily", "Kathleen")</f>
        <v>Emily</v>
      </c>
      <c r="T3">
        <v>2</v>
      </c>
    </row>
    <row r="4" spans="1:20" x14ac:dyDescent="0.35">
      <c r="A4">
        <v>41</v>
      </c>
      <c r="B4">
        <v>17</v>
      </c>
      <c r="C4">
        <v>3</v>
      </c>
      <c r="D4">
        <v>11</v>
      </c>
      <c r="E4">
        <v>6</v>
      </c>
      <c r="F4">
        <v>3</v>
      </c>
      <c r="G4">
        <v>3</v>
      </c>
      <c r="H4">
        <v>9</v>
      </c>
      <c r="I4">
        <v>10</v>
      </c>
      <c r="J4">
        <v>5</v>
      </c>
      <c r="K4">
        <v>7</v>
      </c>
      <c r="L4">
        <v>10</v>
      </c>
      <c r="M4">
        <v>1</v>
      </c>
      <c r="N4">
        <v>3</v>
      </c>
      <c r="O4">
        <v>0</v>
      </c>
      <c r="P4">
        <v>0</v>
      </c>
      <c r="Q4">
        <f t="shared" si="0"/>
        <v>71</v>
      </c>
      <c r="R4">
        <f t="shared" si="1"/>
        <v>58</v>
      </c>
      <c r="S4" t="str">
        <f t="shared" si="2"/>
        <v>Kathleen</v>
      </c>
      <c r="T4">
        <v>3</v>
      </c>
    </row>
    <row r="5" spans="1:20" x14ac:dyDescent="0.35">
      <c r="A5">
        <v>26</v>
      </c>
      <c r="B5">
        <v>14</v>
      </c>
      <c r="C5">
        <v>6</v>
      </c>
      <c r="D5">
        <v>3</v>
      </c>
      <c r="E5">
        <v>3</v>
      </c>
      <c r="F5">
        <v>12</v>
      </c>
      <c r="G5">
        <v>0</v>
      </c>
      <c r="H5">
        <f>6+5+13</f>
        <v>24</v>
      </c>
      <c r="I5">
        <v>17</v>
      </c>
      <c r="J5">
        <v>10</v>
      </c>
      <c r="K5">
        <v>7</v>
      </c>
      <c r="L5">
        <v>4</v>
      </c>
      <c r="M5">
        <v>6</v>
      </c>
      <c r="N5">
        <v>13</v>
      </c>
      <c r="O5">
        <v>0</v>
      </c>
      <c r="P5">
        <v>2</v>
      </c>
      <c r="Q5">
        <f t="shared" si="0"/>
        <v>65</v>
      </c>
      <c r="R5">
        <f t="shared" si="1"/>
        <v>82</v>
      </c>
      <c r="S5" t="str">
        <f t="shared" si="2"/>
        <v>Emily</v>
      </c>
      <c r="T5">
        <v>4</v>
      </c>
    </row>
    <row r="6" spans="1:20" x14ac:dyDescent="0.35">
      <c r="A6">
        <v>10</v>
      </c>
      <c r="B6">
        <v>11</v>
      </c>
      <c r="C6">
        <v>0</v>
      </c>
      <c r="D6">
        <v>3</v>
      </c>
      <c r="E6">
        <v>0</v>
      </c>
      <c r="F6">
        <v>0</v>
      </c>
      <c r="G6">
        <v>0</v>
      </c>
      <c r="H6">
        <v>0</v>
      </c>
      <c r="I6">
        <v>7</v>
      </c>
      <c r="J6">
        <v>3</v>
      </c>
      <c r="K6">
        <v>0</v>
      </c>
      <c r="L6">
        <v>3</v>
      </c>
      <c r="M6">
        <v>1</v>
      </c>
      <c r="N6">
        <v>3</v>
      </c>
      <c r="O6">
        <v>10</v>
      </c>
      <c r="P6">
        <v>0</v>
      </c>
      <c r="Q6">
        <f t="shared" si="0"/>
        <v>28</v>
      </c>
      <c r="R6">
        <f t="shared" si="1"/>
        <v>23</v>
      </c>
      <c r="S6" t="s">
        <v>34</v>
      </c>
      <c r="T6">
        <v>5</v>
      </c>
    </row>
    <row r="7" spans="1:20" x14ac:dyDescent="0.35">
      <c r="A7">
        <v>17</v>
      </c>
      <c r="B7">
        <v>20</v>
      </c>
      <c r="C7">
        <v>11</v>
      </c>
      <c r="D7">
        <v>0</v>
      </c>
      <c r="E7">
        <v>3</v>
      </c>
      <c r="F7">
        <v>3</v>
      </c>
      <c r="G7">
        <v>0</v>
      </c>
      <c r="H7">
        <v>0</v>
      </c>
      <c r="I7">
        <v>3</v>
      </c>
      <c r="J7">
        <v>11</v>
      </c>
      <c r="K7">
        <v>7</v>
      </c>
      <c r="L7">
        <v>0</v>
      </c>
      <c r="M7">
        <v>0</v>
      </c>
      <c r="N7">
        <v>5</v>
      </c>
      <c r="O7">
        <v>0</v>
      </c>
      <c r="P7">
        <v>10</v>
      </c>
      <c r="Q7">
        <f t="shared" si="0"/>
        <v>41</v>
      </c>
      <c r="R7">
        <f t="shared" si="1"/>
        <v>49</v>
      </c>
      <c r="S7" t="s">
        <v>35</v>
      </c>
      <c r="T7">
        <v>6</v>
      </c>
    </row>
    <row r="8" spans="1:20" x14ac:dyDescent="0.35">
      <c r="A8">
        <v>32</v>
      </c>
      <c r="B8">
        <v>13</v>
      </c>
      <c r="C8">
        <v>2</v>
      </c>
      <c r="D8">
        <v>13</v>
      </c>
      <c r="E8">
        <v>9</v>
      </c>
      <c r="F8">
        <v>3</v>
      </c>
      <c r="G8">
        <v>0</v>
      </c>
      <c r="H8">
        <v>16</v>
      </c>
      <c r="I8">
        <v>15</v>
      </c>
      <c r="J8">
        <v>8</v>
      </c>
      <c r="K8">
        <v>0</v>
      </c>
      <c r="L8">
        <v>16</v>
      </c>
      <c r="M8">
        <v>5</v>
      </c>
      <c r="N8">
        <v>2</v>
      </c>
      <c r="O8">
        <v>5</v>
      </c>
      <c r="P8">
        <v>0</v>
      </c>
      <c r="Q8">
        <f t="shared" si="0"/>
        <v>68</v>
      </c>
      <c r="R8">
        <f t="shared" si="1"/>
        <v>71</v>
      </c>
      <c r="S8" t="str">
        <f t="shared" si="2"/>
        <v>Emily</v>
      </c>
      <c r="T8">
        <v>7</v>
      </c>
    </row>
    <row r="9" spans="1:20" x14ac:dyDescent="0.35">
      <c r="A9">
        <v>37</v>
      </c>
      <c r="B9">
        <v>19</v>
      </c>
      <c r="C9">
        <v>9</v>
      </c>
      <c r="D9">
        <v>4</v>
      </c>
      <c r="E9">
        <v>3</v>
      </c>
      <c r="F9">
        <v>3</v>
      </c>
      <c r="G9">
        <v>0</v>
      </c>
      <c r="H9">
        <v>21</v>
      </c>
      <c r="I9">
        <v>10</v>
      </c>
      <c r="J9">
        <v>13</v>
      </c>
      <c r="K9">
        <v>0</v>
      </c>
      <c r="L9">
        <v>11</v>
      </c>
      <c r="M9">
        <v>0</v>
      </c>
      <c r="N9">
        <v>8</v>
      </c>
      <c r="O9">
        <v>2</v>
      </c>
      <c r="P9">
        <v>0</v>
      </c>
      <c r="Q9">
        <f t="shared" si="0"/>
        <v>61</v>
      </c>
      <c r="R9">
        <f t="shared" si="1"/>
        <v>79</v>
      </c>
      <c r="S9" t="str">
        <f t="shared" si="2"/>
        <v>Emily</v>
      </c>
      <c r="T9">
        <v>8</v>
      </c>
    </row>
    <row r="10" spans="1:20" x14ac:dyDescent="0.35">
      <c r="A10">
        <v>28</v>
      </c>
      <c r="B10">
        <v>16</v>
      </c>
      <c r="C10">
        <v>3</v>
      </c>
      <c r="D10">
        <v>11</v>
      </c>
      <c r="E10">
        <v>6</v>
      </c>
      <c r="F10">
        <v>3</v>
      </c>
      <c r="G10">
        <v>12</v>
      </c>
      <c r="H10">
        <v>0</v>
      </c>
      <c r="I10">
        <v>10</v>
      </c>
      <c r="J10">
        <v>12</v>
      </c>
      <c r="K10">
        <v>7</v>
      </c>
      <c r="L10">
        <v>4</v>
      </c>
      <c r="M10">
        <v>1</v>
      </c>
      <c r="N10">
        <v>1</v>
      </c>
      <c r="O10">
        <v>0</v>
      </c>
      <c r="P10">
        <v>10</v>
      </c>
      <c r="Q10">
        <f t="shared" si="0"/>
        <v>67</v>
      </c>
      <c r="R10">
        <f t="shared" si="1"/>
        <v>57</v>
      </c>
      <c r="S10" t="s">
        <v>61</v>
      </c>
      <c r="T10">
        <v>9</v>
      </c>
    </row>
    <row r="11" spans="1:20" x14ac:dyDescent="0.35">
      <c r="A11">
        <v>30</v>
      </c>
      <c r="B11">
        <v>14</v>
      </c>
      <c r="C11">
        <v>5</v>
      </c>
      <c r="D11">
        <v>5</v>
      </c>
      <c r="E11">
        <v>3</v>
      </c>
      <c r="F11">
        <v>12</v>
      </c>
      <c r="G11">
        <v>8</v>
      </c>
      <c r="H11">
        <v>8</v>
      </c>
      <c r="I11">
        <v>12</v>
      </c>
      <c r="J11">
        <v>9</v>
      </c>
      <c r="K11">
        <v>4</v>
      </c>
      <c r="L11">
        <v>7</v>
      </c>
      <c r="M11">
        <v>3</v>
      </c>
      <c r="N11">
        <v>7</v>
      </c>
      <c r="O11">
        <v>0</v>
      </c>
      <c r="P11">
        <v>5</v>
      </c>
      <c r="Q11">
        <f>SUM(A11,C11,E11,G11,I11,K11,M11,O11)</f>
        <v>65</v>
      </c>
      <c r="R11">
        <f t="shared" si="1"/>
        <v>67</v>
      </c>
      <c r="S11" t="str">
        <f t="shared" si="2"/>
        <v>Emily</v>
      </c>
      <c r="T11">
        <v>10</v>
      </c>
    </row>
    <row r="12" spans="1:20" x14ac:dyDescent="0.35">
      <c r="A12">
        <v>8</v>
      </c>
      <c r="B12">
        <v>25</v>
      </c>
      <c r="C12">
        <v>8</v>
      </c>
      <c r="D12">
        <v>3</v>
      </c>
      <c r="E12">
        <v>3</v>
      </c>
      <c r="F12">
        <v>0</v>
      </c>
      <c r="G12">
        <v>6</v>
      </c>
      <c r="H12">
        <v>0</v>
      </c>
      <c r="I12">
        <v>6</v>
      </c>
      <c r="J12">
        <v>15</v>
      </c>
      <c r="K12">
        <v>6</v>
      </c>
      <c r="L12">
        <v>0</v>
      </c>
      <c r="M12">
        <v>3</v>
      </c>
      <c r="N12">
        <v>0</v>
      </c>
      <c r="O12">
        <v>0</v>
      </c>
      <c r="P12">
        <v>2</v>
      </c>
      <c r="Q12">
        <f t="shared" si="0"/>
        <v>40</v>
      </c>
      <c r="R12">
        <f t="shared" si="1"/>
        <v>45</v>
      </c>
      <c r="S12" t="str">
        <f t="shared" si="2"/>
        <v>Emily</v>
      </c>
      <c r="T12">
        <v>11</v>
      </c>
    </row>
    <row r="13" spans="1:20" x14ac:dyDescent="0.35">
      <c r="A13">
        <v>23</v>
      </c>
      <c r="B13">
        <v>11</v>
      </c>
      <c r="C13">
        <v>3</v>
      </c>
      <c r="D13">
        <v>5</v>
      </c>
      <c r="E13">
        <v>0</v>
      </c>
      <c r="F13">
        <v>3</v>
      </c>
      <c r="G13">
        <v>10</v>
      </c>
      <c r="H13">
        <v>0</v>
      </c>
      <c r="I13">
        <v>20</v>
      </c>
      <c r="J13">
        <v>2</v>
      </c>
      <c r="K13">
        <v>7</v>
      </c>
      <c r="L13">
        <v>0</v>
      </c>
      <c r="M13">
        <v>1</v>
      </c>
      <c r="N13">
        <v>0</v>
      </c>
      <c r="O13">
        <v>0</v>
      </c>
      <c r="P13">
        <v>10</v>
      </c>
      <c r="Q13">
        <f t="shared" si="0"/>
        <v>64</v>
      </c>
      <c r="R13">
        <f t="shared" si="1"/>
        <v>31</v>
      </c>
      <c r="S13" t="s">
        <v>61</v>
      </c>
      <c r="T13">
        <v>12</v>
      </c>
    </row>
    <row r="14" spans="1:20" x14ac:dyDescent="0.35">
      <c r="A14">
        <v>25</v>
      </c>
      <c r="B14">
        <v>27</v>
      </c>
      <c r="C14">
        <v>4</v>
      </c>
      <c r="D14">
        <v>6</v>
      </c>
      <c r="E14">
        <v>6</v>
      </c>
      <c r="F14">
        <v>3</v>
      </c>
      <c r="G14">
        <v>12</v>
      </c>
      <c r="H14">
        <v>4</v>
      </c>
      <c r="I14">
        <v>13</v>
      </c>
      <c r="J14">
        <v>13</v>
      </c>
      <c r="K14">
        <v>7</v>
      </c>
      <c r="L14">
        <v>0</v>
      </c>
      <c r="M14">
        <v>2</v>
      </c>
      <c r="N14">
        <v>8</v>
      </c>
      <c r="O14">
        <v>2</v>
      </c>
      <c r="P14">
        <v>0</v>
      </c>
      <c r="Q14">
        <f t="shared" si="0"/>
        <v>71</v>
      </c>
      <c r="R14">
        <f t="shared" si="1"/>
        <v>61</v>
      </c>
      <c r="S14" t="str">
        <f t="shared" si="2"/>
        <v>Kathleen</v>
      </c>
      <c r="T14">
        <v>13</v>
      </c>
    </row>
    <row r="15" spans="1:20" x14ac:dyDescent="0.35">
      <c r="A15">
        <v>16</v>
      </c>
      <c r="B15">
        <v>7</v>
      </c>
      <c r="C15">
        <v>3</v>
      </c>
      <c r="D15">
        <v>0</v>
      </c>
      <c r="E15">
        <v>0</v>
      </c>
      <c r="F15">
        <v>0</v>
      </c>
      <c r="G15">
        <v>0</v>
      </c>
      <c r="H15">
        <v>0</v>
      </c>
      <c r="I15">
        <v>3</v>
      </c>
      <c r="J15">
        <v>9</v>
      </c>
      <c r="K15">
        <v>0</v>
      </c>
      <c r="L15">
        <v>0</v>
      </c>
      <c r="M15">
        <v>3</v>
      </c>
      <c r="N15">
        <v>1</v>
      </c>
      <c r="O15">
        <v>0</v>
      </c>
      <c r="P15">
        <v>10</v>
      </c>
      <c r="Q15">
        <f t="shared" si="0"/>
        <v>25</v>
      </c>
      <c r="R15">
        <f t="shared" si="1"/>
        <v>27</v>
      </c>
      <c r="S15" t="s">
        <v>61</v>
      </c>
      <c r="T15">
        <v>14</v>
      </c>
    </row>
    <row r="16" spans="1:20" x14ac:dyDescent="0.35">
      <c r="A16">
        <v>27</v>
      </c>
      <c r="B16">
        <v>29</v>
      </c>
      <c r="C16">
        <v>8</v>
      </c>
      <c r="D16">
        <v>3</v>
      </c>
      <c r="E16">
        <v>3</v>
      </c>
      <c r="F16">
        <v>6</v>
      </c>
      <c r="G16">
        <v>5</v>
      </c>
      <c r="H16">
        <v>0</v>
      </c>
      <c r="I16">
        <v>21</v>
      </c>
      <c r="J16">
        <v>4</v>
      </c>
      <c r="K16">
        <v>0</v>
      </c>
      <c r="L16">
        <v>7</v>
      </c>
      <c r="M16">
        <v>8</v>
      </c>
      <c r="N16">
        <v>16</v>
      </c>
      <c r="O16">
        <v>2</v>
      </c>
      <c r="P16">
        <v>0</v>
      </c>
      <c r="Q16">
        <f t="shared" si="0"/>
        <v>74</v>
      </c>
      <c r="R16">
        <f t="shared" si="1"/>
        <v>65</v>
      </c>
      <c r="S16" t="str">
        <f t="shared" si="2"/>
        <v>Kathleen</v>
      </c>
      <c r="T16">
        <v>15</v>
      </c>
    </row>
    <row r="17" spans="1:20" x14ac:dyDescent="0.35">
      <c r="A17">
        <v>31</v>
      </c>
      <c r="B17">
        <v>14</v>
      </c>
      <c r="C17">
        <v>2</v>
      </c>
      <c r="D17">
        <v>10</v>
      </c>
      <c r="E17">
        <v>9</v>
      </c>
      <c r="F17">
        <v>3</v>
      </c>
      <c r="G17">
        <v>0</v>
      </c>
      <c r="H17">
        <v>3</v>
      </c>
      <c r="I17">
        <v>10</v>
      </c>
      <c r="J17">
        <v>14</v>
      </c>
      <c r="K17">
        <v>0</v>
      </c>
      <c r="L17">
        <v>4</v>
      </c>
      <c r="M17">
        <v>5</v>
      </c>
      <c r="N17">
        <v>7</v>
      </c>
      <c r="O17">
        <v>5</v>
      </c>
      <c r="P17">
        <v>0</v>
      </c>
      <c r="Q17">
        <f t="shared" si="0"/>
        <v>62</v>
      </c>
      <c r="R17">
        <f t="shared" si="1"/>
        <v>55</v>
      </c>
      <c r="S17" t="str">
        <f t="shared" si="2"/>
        <v>Kathleen</v>
      </c>
      <c r="T17">
        <v>16</v>
      </c>
    </row>
    <row r="18" spans="1:20" x14ac:dyDescent="0.35">
      <c r="A18">
        <v>19</v>
      </c>
      <c r="B18">
        <v>36</v>
      </c>
      <c r="C18">
        <v>3</v>
      </c>
      <c r="D18">
        <v>7</v>
      </c>
      <c r="E18">
        <v>9</v>
      </c>
      <c r="F18">
        <v>6</v>
      </c>
      <c r="G18">
        <v>5</v>
      </c>
      <c r="H18">
        <v>8</v>
      </c>
      <c r="I18">
        <v>15</v>
      </c>
      <c r="J18">
        <v>11</v>
      </c>
      <c r="K18">
        <v>0</v>
      </c>
      <c r="L18">
        <v>7</v>
      </c>
      <c r="M18">
        <v>12</v>
      </c>
      <c r="N18">
        <v>5</v>
      </c>
      <c r="O18">
        <v>0</v>
      </c>
      <c r="P18">
        <v>0</v>
      </c>
      <c r="Q18">
        <f t="shared" si="0"/>
        <v>63</v>
      </c>
      <c r="R18">
        <f t="shared" si="1"/>
        <v>80</v>
      </c>
      <c r="S18" t="str">
        <f t="shared" si="2"/>
        <v>Emily</v>
      </c>
      <c r="T18">
        <v>17</v>
      </c>
    </row>
    <row r="19" spans="1:20" x14ac:dyDescent="0.35">
      <c r="A19">
        <v>21</v>
      </c>
      <c r="B19">
        <v>5</v>
      </c>
      <c r="C19">
        <v>4</v>
      </c>
      <c r="D19">
        <v>0</v>
      </c>
      <c r="E19">
        <v>6</v>
      </c>
      <c r="F19">
        <v>0</v>
      </c>
      <c r="G19">
        <v>0</v>
      </c>
      <c r="H19">
        <v>4</v>
      </c>
      <c r="I19">
        <v>18</v>
      </c>
      <c r="J19">
        <v>13</v>
      </c>
      <c r="K19">
        <v>0</v>
      </c>
      <c r="L19">
        <v>0</v>
      </c>
      <c r="M19">
        <v>6</v>
      </c>
      <c r="N19">
        <v>8</v>
      </c>
      <c r="O19">
        <v>0</v>
      </c>
      <c r="P19">
        <v>10</v>
      </c>
      <c r="Q19">
        <f t="shared" si="0"/>
        <v>55</v>
      </c>
      <c r="R19">
        <f t="shared" si="1"/>
        <v>40</v>
      </c>
      <c r="S19" t="s">
        <v>61</v>
      </c>
      <c r="T19">
        <v>18</v>
      </c>
    </row>
    <row r="20" spans="1:20" x14ac:dyDescent="0.35">
      <c r="A20">
        <v>16</v>
      </c>
      <c r="B20">
        <v>12</v>
      </c>
      <c r="C20">
        <v>1</v>
      </c>
      <c r="D20">
        <v>7</v>
      </c>
      <c r="E20">
        <v>0</v>
      </c>
      <c r="F20">
        <v>0</v>
      </c>
      <c r="G20">
        <v>0</v>
      </c>
      <c r="H20">
        <v>0</v>
      </c>
      <c r="I20">
        <v>7</v>
      </c>
      <c r="J20">
        <v>9</v>
      </c>
      <c r="K20">
        <v>0</v>
      </c>
      <c r="L20">
        <v>0</v>
      </c>
      <c r="M20">
        <v>2</v>
      </c>
      <c r="N20">
        <v>1</v>
      </c>
      <c r="O20">
        <v>5</v>
      </c>
      <c r="P20">
        <v>0</v>
      </c>
      <c r="Q20">
        <f t="shared" si="0"/>
        <v>31</v>
      </c>
      <c r="R20">
        <f t="shared" si="1"/>
        <v>29</v>
      </c>
      <c r="S20" t="s">
        <v>47</v>
      </c>
      <c r="T20">
        <v>19</v>
      </c>
    </row>
    <row r="21" spans="1:20" x14ac:dyDescent="0.35">
      <c r="A21">
        <v>27</v>
      </c>
      <c r="B21">
        <v>16</v>
      </c>
      <c r="C21">
        <v>2</v>
      </c>
      <c r="D21">
        <v>5</v>
      </c>
      <c r="E21">
        <v>6</v>
      </c>
      <c r="F21">
        <v>6</v>
      </c>
      <c r="G21">
        <v>15</v>
      </c>
      <c r="H21">
        <v>6</v>
      </c>
      <c r="I21">
        <v>9</v>
      </c>
      <c r="J21">
        <v>15</v>
      </c>
      <c r="K21">
        <v>0</v>
      </c>
      <c r="L21">
        <v>0</v>
      </c>
      <c r="M21">
        <v>1</v>
      </c>
      <c r="N21">
        <v>8</v>
      </c>
      <c r="O21">
        <v>0</v>
      </c>
      <c r="P21">
        <v>5</v>
      </c>
      <c r="Q21">
        <f t="shared" si="0"/>
        <v>60</v>
      </c>
      <c r="R21">
        <f t="shared" si="1"/>
        <v>61</v>
      </c>
      <c r="S21" t="str">
        <f t="shared" si="2"/>
        <v>Emily</v>
      </c>
      <c r="T21">
        <v>20</v>
      </c>
    </row>
    <row r="22" spans="1:20" x14ac:dyDescent="0.35">
      <c r="A22">
        <v>3</v>
      </c>
      <c r="B22">
        <v>10</v>
      </c>
      <c r="C22">
        <v>2</v>
      </c>
      <c r="D22">
        <v>0</v>
      </c>
      <c r="E22">
        <v>0</v>
      </c>
      <c r="F22">
        <v>0</v>
      </c>
      <c r="G22">
        <v>0</v>
      </c>
      <c r="H22">
        <v>0</v>
      </c>
      <c r="I22">
        <v>3</v>
      </c>
      <c r="J22">
        <v>9</v>
      </c>
      <c r="K22">
        <v>0</v>
      </c>
      <c r="L22">
        <v>0</v>
      </c>
      <c r="M22">
        <v>3</v>
      </c>
      <c r="N22">
        <v>2</v>
      </c>
      <c r="O22">
        <v>10</v>
      </c>
      <c r="P22">
        <v>0</v>
      </c>
      <c r="Q22">
        <f t="shared" si="0"/>
        <v>21</v>
      </c>
      <c r="R22">
        <f t="shared" si="1"/>
        <v>21</v>
      </c>
      <c r="S22" t="s">
        <v>34</v>
      </c>
      <c r="T22">
        <v>21</v>
      </c>
    </row>
    <row r="23" spans="1:20" x14ac:dyDescent="0.35">
      <c r="A23">
        <v>0</v>
      </c>
      <c r="B23">
        <v>22</v>
      </c>
      <c r="C23">
        <v>3</v>
      </c>
      <c r="D23">
        <v>0</v>
      </c>
      <c r="E23">
        <v>0</v>
      </c>
      <c r="F23">
        <v>0</v>
      </c>
      <c r="G23">
        <v>0</v>
      </c>
      <c r="H23">
        <v>0</v>
      </c>
      <c r="I23">
        <v>6</v>
      </c>
      <c r="J23">
        <v>8</v>
      </c>
      <c r="K23">
        <v>0</v>
      </c>
      <c r="L23">
        <v>0</v>
      </c>
      <c r="M23">
        <v>1</v>
      </c>
      <c r="N23">
        <v>2</v>
      </c>
      <c r="O23">
        <v>10</v>
      </c>
      <c r="P23">
        <v>0</v>
      </c>
      <c r="Q23">
        <f t="shared" si="0"/>
        <v>20</v>
      </c>
      <c r="R23">
        <f t="shared" si="1"/>
        <v>32</v>
      </c>
      <c r="S23" t="s">
        <v>34</v>
      </c>
      <c r="T23">
        <v>22</v>
      </c>
    </row>
    <row r="24" spans="1:20" x14ac:dyDescent="0.35">
      <c r="A24">
        <v>16</v>
      </c>
      <c r="B24">
        <v>24</v>
      </c>
      <c r="C24">
        <v>6</v>
      </c>
      <c r="D24">
        <v>7</v>
      </c>
      <c r="E24">
        <v>3</v>
      </c>
      <c r="F24">
        <v>9</v>
      </c>
      <c r="G24">
        <v>10</v>
      </c>
      <c r="H24">
        <v>8</v>
      </c>
      <c r="I24">
        <v>14</v>
      </c>
      <c r="J24">
        <v>11</v>
      </c>
      <c r="K24">
        <v>11</v>
      </c>
      <c r="L24">
        <v>0</v>
      </c>
      <c r="M24">
        <v>6</v>
      </c>
      <c r="N24">
        <v>11</v>
      </c>
      <c r="O24">
        <v>2</v>
      </c>
      <c r="P24">
        <v>0</v>
      </c>
      <c r="Q24">
        <f t="shared" si="0"/>
        <v>68</v>
      </c>
      <c r="R24">
        <f t="shared" si="1"/>
        <v>70</v>
      </c>
      <c r="S24" t="s">
        <v>47</v>
      </c>
      <c r="T24">
        <v>23</v>
      </c>
    </row>
    <row r="25" spans="1:20" x14ac:dyDescent="0.35">
      <c r="A25">
        <v>19</v>
      </c>
      <c r="B25">
        <v>23</v>
      </c>
      <c r="C25">
        <v>9</v>
      </c>
      <c r="D25">
        <v>5</v>
      </c>
      <c r="E25">
        <v>3</v>
      </c>
      <c r="F25">
        <v>3</v>
      </c>
      <c r="G25">
        <v>3</v>
      </c>
      <c r="H25">
        <v>6</v>
      </c>
      <c r="I25">
        <v>14</v>
      </c>
      <c r="J25">
        <v>8</v>
      </c>
      <c r="K25">
        <v>4</v>
      </c>
      <c r="L25">
        <v>6</v>
      </c>
      <c r="M25">
        <v>3</v>
      </c>
      <c r="N25">
        <v>2</v>
      </c>
      <c r="O25">
        <v>0</v>
      </c>
      <c r="P25">
        <v>10</v>
      </c>
      <c r="Q25">
        <f t="shared" si="0"/>
        <v>55</v>
      </c>
      <c r="R25">
        <f t="shared" si="1"/>
        <v>63</v>
      </c>
      <c r="S25" t="str">
        <f t="shared" si="2"/>
        <v>Emily</v>
      </c>
      <c r="T25">
        <v>24</v>
      </c>
    </row>
    <row r="26" spans="1:20" x14ac:dyDescent="0.35">
      <c r="A26">
        <v>19</v>
      </c>
      <c r="B26">
        <v>27</v>
      </c>
      <c r="C26">
        <v>5</v>
      </c>
      <c r="D26">
        <v>7</v>
      </c>
      <c r="E26">
        <v>3</v>
      </c>
      <c r="F26">
        <v>9</v>
      </c>
      <c r="G26">
        <v>11</v>
      </c>
      <c r="H26">
        <v>8</v>
      </c>
      <c r="I26">
        <v>14</v>
      </c>
      <c r="J26">
        <v>13</v>
      </c>
      <c r="K26">
        <v>7</v>
      </c>
      <c r="L26">
        <v>0</v>
      </c>
      <c r="M26">
        <v>2</v>
      </c>
      <c r="N26">
        <v>14</v>
      </c>
      <c r="O26">
        <v>0</v>
      </c>
      <c r="P26">
        <v>2</v>
      </c>
      <c r="Q26">
        <f t="shared" si="0"/>
        <v>61</v>
      </c>
      <c r="R26">
        <f t="shared" si="1"/>
        <v>80</v>
      </c>
      <c r="S26" t="str">
        <f t="shared" si="2"/>
        <v>Emily</v>
      </c>
      <c r="T26">
        <v>25</v>
      </c>
    </row>
    <row r="27" spans="1:20" x14ac:dyDescent="0.35">
      <c r="A27">
        <v>35</v>
      </c>
      <c r="B27">
        <v>17</v>
      </c>
      <c r="C27">
        <v>7</v>
      </c>
      <c r="D27">
        <v>0</v>
      </c>
      <c r="E27">
        <v>3</v>
      </c>
      <c r="F27">
        <v>9</v>
      </c>
      <c r="G27">
        <v>5</v>
      </c>
      <c r="H27">
        <v>9</v>
      </c>
      <c r="I27">
        <v>14</v>
      </c>
      <c r="J27">
        <v>6</v>
      </c>
      <c r="K27">
        <v>6</v>
      </c>
      <c r="L27">
        <v>0</v>
      </c>
      <c r="M27">
        <v>3</v>
      </c>
      <c r="N27">
        <v>9</v>
      </c>
      <c r="O27">
        <v>2</v>
      </c>
      <c r="P27">
        <v>0</v>
      </c>
      <c r="Q27">
        <f t="shared" si="0"/>
        <v>75</v>
      </c>
      <c r="R27">
        <f t="shared" si="1"/>
        <v>50</v>
      </c>
      <c r="S27" t="str">
        <f t="shared" si="2"/>
        <v>Kathleen</v>
      </c>
      <c r="T27">
        <v>26</v>
      </c>
    </row>
    <row r="28" spans="1:20" x14ac:dyDescent="0.35">
      <c r="A28">
        <v>3</v>
      </c>
      <c r="B28">
        <v>31</v>
      </c>
      <c r="C28">
        <v>8</v>
      </c>
      <c r="D28">
        <v>0</v>
      </c>
      <c r="E28">
        <v>6</v>
      </c>
      <c r="F28">
        <v>3</v>
      </c>
      <c r="G28">
        <v>0</v>
      </c>
      <c r="H28">
        <v>6</v>
      </c>
      <c r="I28">
        <v>7</v>
      </c>
      <c r="J28">
        <v>12</v>
      </c>
      <c r="K28">
        <v>13</v>
      </c>
      <c r="L28">
        <v>0</v>
      </c>
      <c r="M28">
        <v>4</v>
      </c>
      <c r="N28">
        <v>4</v>
      </c>
      <c r="O28">
        <v>0</v>
      </c>
      <c r="P28">
        <v>10</v>
      </c>
      <c r="Q28">
        <f t="shared" si="0"/>
        <v>41</v>
      </c>
      <c r="R28">
        <f t="shared" si="1"/>
        <v>66</v>
      </c>
      <c r="S28" t="s">
        <v>61</v>
      </c>
      <c r="T28">
        <v>27</v>
      </c>
    </row>
    <row r="29" spans="1:20" x14ac:dyDescent="0.35">
      <c r="A29">
        <v>16</v>
      </c>
      <c r="B29">
        <v>30</v>
      </c>
      <c r="C29">
        <v>14</v>
      </c>
      <c r="D29">
        <v>4</v>
      </c>
      <c r="E29">
        <v>3</v>
      </c>
      <c r="F29">
        <v>3</v>
      </c>
      <c r="G29">
        <v>0</v>
      </c>
      <c r="H29">
        <v>8</v>
      </c>
      <c r="I29">
        <v>12</v>
      </c>
      <c r="J29">
        <v>16</v>
      </c>
      <c r="K29">
        <v>12</v>
      </c>
      <c r="L29">
        <v>0</v>
      </c>
      <c r="M29">
        <v>5</v>
      </c>
      <c r="N29">
        <v>9</v>
      </c>
      <c r="O29">
        <v>5</v>
      </c>
      <c r="P29">
        <v>0</v>
      </c>
      <c r="Q29">
        <f t="shared" ref="Q29:Q34" si="3">SUM(A29,C29,E29,G29,I29,K29,M29,O29)</f>
        <v>67</v>
      </c>
      <c r="R29">
        <f t="shared" ref="R29:R34" si="4">SUM(B29,D29,F29,H29,J29,L29,N29,P29)</f>
        <v>70</v>
      </c>
      <c r="S29" t="str">
        <f t="shared" si="2"/>
        <v>Emily</v>
      </c>
      <c r="T29">
        <v>28</v>
      </c>
    </row>
    <row r="30" spans="1:20" x14ac:dyDescent="0.35">
      <c r="A30">
        <v>6</v>
      </c>
      <c r="B30">
        <v>14</v>
      </c>
      <c r="C30">
        <v>2</v>
      </c>
      <c r="D30">
        <v>6</v>
      </c>
      <c r="E30">
        <v>3</v>
      </c>
      <c r="F30">
        <v>3</v>
      </c>
      <c r="G30">
        <v>12</v>
      </c>
      <c r="H30">
        <v>0</v>
      </c>
      <c r="I30">
        <v>9</v>
      </c>
      <c r="J30">
        <v>9</v>
      </c>
      <c r="K30">
        <v>0</v>
      </c>
      <c r="L30">
        <v>4</v>
      </c>
      <c r="M30">
        <v>3</v>
      </c>
      <c r="N30">
        <v>12</v>
      </c>
      <c r="O30">
        <v>10</v>
      </c>
      <c r="P30">
        <v>0</v>
      </c>
      <c r="Q30">
        <f t="shared" si="3"/>
        <v>45</v>
      </c>
      <c r="R30">
        <f t="shared" si="4"/>
        <v>48</v>
      </c>
      <c r="S30" t="s">
        <v>34</v>
      </c>
      <c r="T30">
        <v>29</v>
      </c>
    </row>
    <row r="31" spans="1:20" x14ac:dyDescent="0.35">
      <c r="A31">
        <v>16</v>
      </c>
      <c r="B31">
        <v>36</v>
      </c>
      <c r="C31">
        <v>2</v>
      </c>
      <c r="D31">
        <v>4</v>
      </c>
      <c r="E31">
        <v>3</v>
      </c>
      <c r="F31">
        <v>9</v>
      </c>
      <c r="G31">
        <v>14</v>
      </c>
      <c r="H31">
        <v>0</v>
      </c>
      <c r="I31">
        <v>18</v>
      </c>
      <c r="J31">
        <v>7</v>
      </c>
      <c r="K31">
        <v>6</v>
      </c>
      <c r="L31">
        <v>0</v>
      </c>
      <c r="M31">
        <v>1</v>
      </c>
      <c r="N31">
        <v>9</v>
      </c>
      <c r="O31">
        <v>2</v>
      </c>
      <c r="P31">
        <v>0</v>
      </c>
      <c r="Q31">
        <f t="shared" si="3"/>
        <v>62</v>
      </c>
      <c r="R31">
        <f t="shared" si="4"/>
        <v>65</v>
      </c>
      <c r="S31" t="str">
        <f t="shared" si="2"/>
        <v>Emily</v>
      </c>
      <c r="T31">
        <v>30</v>
      </c>
    </row>
    <row r="32" spans="1:20" x14ac:dyDescent="0.35">
      <c r="A32">
        <v>7</v>
      </c>
      <c r="B32">
        <v>17</v>
      </c>
      <c r="C32">
        <v>8</v>
      </c>
      <c r="D32">
        <v>1</v>
      </c>
      <c r="E32">
        <v>3</v>
      </c>
      <c r="F32">
        <v>3</v>
      </c>
      <c r="G32">
        <v>0</v>
      </c>
      <c r="H32">
        <v>0</v>
      </c>
      <c r="I32">
        <v>0</v>
      </c>
      <c r="J32">
        <v>17</v>
      </c>
      <c r="K32">
        <v>0</v>
      </c>
      <c r="L32">
        <v>0</v>
      </c>
      <c r="M32">
        <v>2</v>
      </c>
      <c r="N32">
        <v>5</v>
      </c>
      <c r="O32">
        <v>0</v>
      </c>
      <c r="P32">
        <v>5</v>
      </c>
      <c r="Q32">
        <f t="shared" si="3"/>
        <v>20</v>
      </c>
      <c r="R32">
        <f t="shared" si="4"/>
        <v>48</v>
      </c>
      <c r="S32" t="str">
        <f t="shared" si="2"/>
        <v>Emily</v>
      </c>
      <c r="T32">
        <v>31</v>
      </c>
    </row>
    <row r="33" spans="1:20" x14ac:dyDescent="0.35">
      <c r="A33">
        <v>0</v>
      </c>
      <c r="B33">
        <v>29</v>
      </c>
      <c r="C33">
        <v>8</v>
      </c>
      <c r="D33">
        <v>0</v>
      </c>
      <c r="E33">
        <v>3</v>
      </c>
      <c r="F33">
        <v>3</v>
      </c>
      <c r="G33">
        <v>0</v>
      </c>
      <c r="H33">
        <v>12</v>
      </c>
      <c r="I33">
        <v>15</v>
      </c>
      <c r="J33">
        <v>8</v>
      </c>
      <c r="K33">
        <v>0</v>
      </c>
      <c r="L33">
        <v>0</v>
      </c>
      <c r="M33">
        <v>6</v>
      </c>
      <c r="N33">
        <v>12</v>
      </c>
      <c r="O33">
        <v>2</v>
      </c>
      <c r="P33">
        <v>0</v>
      </c>
      <c r="Q33">
        <f t="shared" si="3"/>
        <v>34</v>
      </c>
      <c r="R33">
        <f t="shared" si="4"/>
        <v>64</v>
      </c>
      <c r="S33" t="s">
        <v>35</v>
      </c>
      <c r="T33">
        <v>32</v>
      </c>
    </row>
    <row r="34" spans="1:20" x14ac:dyDescent="0.35">
      <c r="A34">
        <v>22</v>
      </c>
      <c r="B34">
        <v>8</v>
      </c>
      <c r="C34">
        <v>5</v>
      </c>
      <c r="D34">
        <v>8</v>
      </c>
      <c r="E34">
        <v>6</v>
      </c>
      <c r="F34">
        <v>9</v>
      </c>
      <c r="G34">
        <v>16</v>
      </c>
      <c r="H34">
        <v>5</v>
      </c>
      <c r="I34">
        <v>7</v>
      </c>
      <c r="J34">
        <v>12</v>
      </c>
      <c r="K34">
        <v>6</v>
      </c>
      <c r="L34">
        <v>4</v>
      </c>
      <c r="M34">
        <v>3</v>
      </c>
      <c r="N34">
        <v>8</v>
      </c>
      <c r="O34">
        <v>0</v>
      </c>
      <c r="P34">
        <v>10</v>
      </c>
      <c r="Q34">
        <f t="shared" si="3"/>
        <v>65</v>
      </c>
      <c r="R34">
        <f t="shared" si="4"/>
        <v>64</v>
      </c>
      <c r="S34" t="str">
        <f t="shared" si="2"/>
        <v>Kathleen</v>
      </c>
      <c r="T34">
        <v>33</v>
      </c>
    </row>
    <row r="35" spans="1:20" x14ac:dyDescent="0.35">
      <c r="Q35">
        <f t="shared" ref="Q35:Q98" si="5">SUM(A35,C35,E35,G35,I35,K35,M35,O35)</f>
        <v>0</v>
      </c>
      <c r="R35">
        <f t="shared" ref="R35:R98" si="6">SUM(B35,D35,F35,H35,J35,L35,N35,P35)</f>
        <v>0</v>
      </c>
      <c r="S35" t="str">
        <f t="shared" si="2"/>
        <v>Kathleen</v>
      </c>
      <c r="T35">
        <v>34</v>
      </c>
    </row>
    <row r="36" spans="1:20" x14ac:dyDescent="0.35">
      <c r="Q36">
        <f t="shared" si="5"/>
        <v>0</v>
      </c>
      <c r="R36">
        <f t="shared" si="6"/>
        <v>0</v>
      </c>
      <c r="S36" t="str">
        <f t="shared" si="2"/>
        <v>Kathleen</v>
      </c>
      <c r="T36">
        <v>35</v>
      </c>
    </row>
    <row r="37" spans="1:20" x14ac:dyDescent="0.35">
      <c r="Q37">
        <f t="shared" si="5"/>
        <v>0</v>
      </c>
      <c r="R37">
        <f t="shared" si="6"/>
        <v>0</v>
      </c>
      <c r="S37" t="str">
        <f t="shared" si="2"/>
        <v>Kathleen</v>
      </c>
      <c r="T37">
        <v>36</v>
      </c>
    </row>
    <row r="38" spans="1:20" x14ac:dyDescent="0.35">
      <c r="Q38">
        <f t="shared" si="5"/>
        <v>0</v>
      </c>
      <c r="R38">
        <f t="shared" si="6"/>
        <v>0</v>
      </c>
      <c r="S38" t="str">
        <f t="shared" si="2"/>
        <v>Kathleen</v>
      </c>
      <c r="T38">
        <v>37</v>
      </c>
    </row>
    <row r="39" spans="1:20" x14ac:dyDescent="0.35">
      <c r="Q39">
        <f t="shared" si="5"/>
        <v>0</v>
      </c>
      <c r="R39">
        <f t="shared" si="6"/>
        <v>0</v>
      </c>
      <c r="S39" t="str">
        <f t="shared" si="2"/>
        <v>Kathleen</v>
      </c>
      <c r="T39">
        <v>38</v>
      </c>
    </row>
    <row r="40" spans="1:20" x14ac:dyDescent="0.35">
      <c r="Q40">
        <f t="shared" si="5"/>
        <v>0</v>
      </c>
      <c r="R40">
        <f t="shared" si="6"/>
        <v>0</v>
      </c>
      <c r="S40" t="str">
        <f t="shared" si="2"/>
        <v>Kathleen</v>
      </c>
      <c r="T40">
        <v>39</v>
      </c>
    </row>
    <row r="41" spans="1:20" x14ac:dyDescent="0.35">
      <c r="Q41">
        <f t="shared" si="5"/>
        <v>0</v>
      </c>
      <c r="R41">
        <f t="shared" si="6"/>
        <v>0</v>
      </c>
      <c r="S41" t="str">
        <f t="shared" si="2"/>
        <v>Kathleen</v>
      </c>
      <c r="T41">
        <v>40</v>
      </c>
    </row>
    <row r="42" spans="1:20" x14ac:dyDescent="0.35">
      <c r="Q42">
        <f t="shared" si="5"/>
        <v>0</v>
      </c>
      <c r="R42">
        <f t="shared" si="6"/>
        <v>0</v>
      </c>
      <c r="S42" t="str">
        <f t="shared" si="2"/>
        <v>Kathleen</v>
      </c>
      <c r="T42">
        <v>41</v>
      </c>
    </row>
    <row r="43" spans="1:20" x14ac:dyDescent="0.35">
      <c r="Q43">
        <f t="shared" si="5"/>
        <v>0</v>
      </c>
      <c r="R43">
        <f t="shared" si="6"/>
        <v>0</v>
      </c>
      <c r="S43" t="str">
        <f t="shared" si="2"/>
        <v>Kathleen</v>
      </c>
      <c r="T43">
        <v>42</v>
      </c>
    </row>
    <row r="44" spans="1:20" x14ac:dyDescent="0.35">
      <c r="Q44">
        <f t="shared" si="5"/>
        <v>0</v>
      </c>
      <c r="R44">
        <f t="shared" si="6"/>
        <v>0</v>
      </c>
      <c r="S44" t="str">
        <f t="shared" si="2"/>
        <v>Kathleen</v>
      </c>
      <c r="T44">
        <v>43</v>
      </c>
    </row>
    <row r="45" spans="1:20" x14ac:dyDescent="0.35">
      <c r="Q45">
        <f t="shared" si="5"/>
        <v>0</v>
      </c>
      <c r="R45">
        <f t="shared" si="6"/>
        <v>0</v>
      </c>
      <c r="S45" t="str">
        <f t="shared" si="2"/>
        <v>Kathleen</v>
      </c>
      <c r="T45">
        <v>44</v>
      </c>
    </row>
    <row r="46" spans="1:20" x14ac:dyDescent="0.35">
      <c r="Q46">
        <f t="shared" si="5"/>
        <v>0</v>
      </c>
      <c r="R46">
        <f t="shared" si="6"/>
        <v>0</v>
      </c>
      <c r="S46" t="str">
        <f t="shared" si="2"/>
        <v>Kathleen</v>
      </c>
      <c r="T46">
        <v>45</v>
      </c>
    </row>
    <row r="47" spans="1:20" x14ac:dyDescent="0.35">
      <c r="Q47">
        <f t="shared" si="5"/>
        <v>0</v>
      </c>
      <c r="R47">
        <f t="shared" si="6"/>
        <v>0</v>
      </c>
      <c r="S47" t="str">
        <f t="shared" si="2"/>
        <v>Kathleen</v>
      </c>
      <c r="T47">
        <v>46</v>
      </c>
    </row>
    <row r="48" spans="1:20" x14ac:dyDescent="0.35">
      <c r="Q48">
        <f t="shared" si="5"/>
        <v>0</v>
      </c>
      <c r="R48">
        <f t="shared" si="6"/>
        <v>0</v>
      </c>
      <c r="S48" t="str">
        <f t="shared" si="2"/>
        <v>Kathleen</v>
      </c>
      <c r="T48">
        <v>47</v>
      </c>
    </row>
    <row r="49" spans="17:20" x14ac:dyDescent="0.35">
      <c r="Q49">
        <f t="shared" si="5"/>
        <v>0</v>
      </c>
      <c r="R49">
        <f t="shared" si="6"/>
        <v>0</v>
      </c>
      <c r="S49" t="str">
        <f t="shared" si="2"/>
        <v>Kathleen</v>
      </c>
      <c r="T49">
        <v>48</v>
      </c>
    </row>
    <row r="50" spans="17:20" x14ac:dyDescent="0.35">
      <c r="Q50">
        <f t="shared" si="5"/>
        <v>0</v>
      </c>
      <c r="R50">
        <f t="shared" si="6"/>
        <v>0</v>
      </c>
      <c r="S50" t="str">
        <f t="shared" si="2"/>
        <v>Kathleen</v>
      </c>
      <c r="T50">
        <v>49</v>
      </c>
    </row>
    <row r="51" spans="17:20" x14ac:dyDescent="0.35">
      <c r="Q51">
        <f t="shared" si="5"/>
        <v>0</v>
      </c>
      <c r="R51">
        <f t="shared" si="6"/>
        <v>0</v>
      </c>
      <c r="S51" t="str">
        <f t="shared" si="2"/>
        <v>Kathleen</v>
      </c>
      <c r="T51">
        <v>50</v>
      </c>
    </row>
    <row r="52" spans="17:20" x14ac:dyDescent="0.35">
      <c r="Q52">
        <f t="shared" si="5"/>
        <v>0</v>
      </c>
      <c r="R52">
        <f t="shared" si="6"/>
        <v>0</v>
      </c>
      <c r="S52" t="str">
        <f t="shared" si="2"/>
        <v>Kathleen</v>
      </c>
      <c r="T52">
        <v>51</v>
      </c>
    </row>
    <row r="53" spans="17:20" x14ac:dyDescent="0.35">
      <c r="Q53">
        <f t="shared" si="5"/>
        <v>0</v>
      </c>
      <c r="R53">
        <f t="shared" si="6"/>
        <v>0</v>
      </c>
      <c r="S53" t="str">
        <f t="shared" si="2"/>
        <v>Kathleen</v>
      </c>
      <c r="T53">
        <v>52</v>
      </c>
    </row>
    <row r="54" spans="17:20" x14ac:dyDescent="0.35">
      <c r="Q54">
        <f t="shared" si="5"/>
        <v>0</v>
      </c>
      <c r="R54">
        <f t="shared" si="6"/>
        <v>0</v>
      </c>
      <c r="S54" t="str">
        <f t="shared" si="2"/>
        <v>Kathleen</v>
      </c>
      <c r="T54">
        <v>53</v>
      </c>
    </row>
    <row r="55" spans="17:20" x14ac:dyDescent="0.35">
      <c r="Q55">
        <f t="shared" si="5"/>
        <v>0</v>
      </c>
      <c r="R55">
        <f t="shared" si="6"/>
        <v>0</v>
      </c>
      <c r="S55" t="str">
        <f t="shared" si="2"/>
        <v>Kathleen</v>
      </c>
      <c r="T55">
        <v>54</v>
      </c>
    </row>
    <row r="56" spans="17:20" x14ac:dyDescent="0.35">
      <c r="Q56">
        <f t="shared" si="5"/>
        <v>0</v>
      </c>
      <c r="R56">
        <f t="shared" si="6"/>
        <v>0</v>
      </c>
      <c r="S56" t="str">
        <f t="shared" si="2"/>
        <v>Kathleen</v>
      </c>
      <c r="T56">
        <v>55</v>
      </c>
    </row>
    <row r="57" spans="17:20" x14ac:dyDescent="0.35">
      <c r="Q57">
        <f t="shared" si="5"/>
        <v>0</v>
      </c>
      <c r="R57">
        <f t="shared" si="6"/>
        <v>0</v>
      </c>
      <c r="S57" t="str">
        <f t="shared" si="2"/>
        <v>Kathleen</v>
      </c>
      <c r="T57">
        <v>56</v>
      </c>
    </row>
    <row r="58" spans="17:20" x14ac:dyDescent="0.35">
      <c r="Q58">
        <f t="shared" si="5"/>
        <v>0</v>
      </c>
      <c r="R58">
        <f t="shared" si="6"/>
        <v>0</v>
      </c>
      <c r="S58" t="str">
        <f t="shared" si="2"/>
        <v>Kathleen</v>
      </c>
      <c r="T58">
        <v>57</v>
      </c>
    </row>
    <row r="59" spans="17:20" x14ac:dyDescent="0.35">
      <c r="Q59">
        <f t="shared" si="5"/>
        <v>0</v>
      </c>
      <c r="R59">
        <f t="shared" si="6"/>
        <v>0</v>
      </c>
      <c r="S59" t="str">
        <f t="shared" si="2"/>
        <v>Kathleen</v>
      </c>
      <c r="T59">
        <v>58</v>
      </c>
    </row>
    <row r="60" spans="17:20" x14ac:dyDescent="0.35">
      <c r="Q60">
        <f t="shared" si="5"/>
        <v>0</v>
      </c>
      <c r="R60">
        <f t="shared" si="6"/>
        <v>0</v>
      </c>
      <c r="S60" t="str">
        <f t="shared" si="2"/>
        <v>Kathleen</v>
      </c>
      <c r="T60">
        <v>59</v>
      </c>
    </row>
    <row r="61" spans="17:20" x14ac:dyDescent="0.35">
      <c r="Q61">
        <f t="shared" si="5"/>
        <v>0</v>
      </c>
      <c r="R61">
        <f t="shared" si="6"/>
        <v>0</v>
      </c>
      <c r="S61" t="str">
        <f t="shared" si="2"/>
        <v>Kathleen</v>
      </c>
      <c r="T61">
        <v>60</v>
      </c>
    </row>
    <row r="62" spans="17:20" x14ac:dyDescent="0.35">
      <c r="Q62">
        <f t="shared" si="5"/>
        <v>0</v>
      </c>
      <c r="R62">
        <f t="shared" si="6"/>
        <v>0</v>
      </c>
      <c r="S62" t="str">
        <f t="shared" si="2"/>
        <v>Kathleen</v>
      </c>
      <c r="T62">
        <v>61</v>
      </c>
    </row>
    <row r="63" spans="17:20" x14ac:dyDescent="0.35">
      <c r="Q63">
        <f t="shared" si="5"/>
        <v>0</v>
      </c>
      <c r="R63">
        <f t="shared" si="6"/>
        <v>0</v>
      </c>
      <c r="S63" t="str">
        <f t="shared" si="2"/>
        <v>Kathleen</v>
      </c>
      <c r="T63">
        <v>62</v>
      </c>
    </row>
    <row r="64" spans="17:20" x14ac:dyDescent="0.35">
      <c r="Q64">
        <f t="shared" si="5"/>
        <v>0</v>
      </c>
      <c r="R64">
        <f t="shared" si="6"/>
        <v>0</v>
      </c>
      <c r="S64" t="str">
        <f t="shared" si="2"/>
        <v>Kathleen</v>
      </c>
      <c r="T64">
        <v>63</v>
      </c>
    </row>
    <row r="65" spans="17:20" x14ac:dyDescent="0.35">
      <c r="Q65">
        <f t="shared" si="5"/>
        <v>0</v>
      </c>
      <c r="R65">
        <f t="shared" si="6"/>
        <v>0</v>
      </c>
      <c r="S65" t="str">
        <f t="shared" si="2"/>
        <v>Kathleen</v>
      </c>
      <c r="T65">
        <v>64</v>
      </c>
    </row>
    <row r="66" spans="17:20" x14ac:dyDescent="0.35">
      <c r="Q66">
        <f t="shared" si="5"/>
        <v>0</v>
      </c>
      <c r="R66">
        <f t="shared" si="6"/>
        <v>0</v>
      </c>
      <c r="S66" t="str">
        <f t="shared" si="2"/>
        <v>Kathleen</v>
      </c>
      <c r="T66">
        <v>65</v>
      </c>
    </row>
    <row r="67" spans="17:20" x14ac:dyDescent="0.35">
      <c r="Q67">
        <f t="shared" si="5"/>
        <v>0</v>
      </c>
      <c r="R67">
        <f t="shared" si="6"/>
        <v>0</v>
      </c>
      <c r="S67" t="str">
        <f t="shared" ref="S67:S130" si="7">IF(Q67&lt;R67, "Emily", "Kathleen")</f>
        <v>Kathleen</v>
      </c>
      <c r="T67">
        <v>66</v>
      </c>
    </row>
    <row r="68" spans="17:20" x14ac:dyDescent="0.35">
      <c r="Q68">
        <f t="shared" si="5"/>
        <v>0</v>
      </c>
      <c r="R68">
        <f t="shared" si="6"/>
        <v>0</v>
      </c>
      <c r="S68" t="str">
        <f t="shared" si="7"/>
        <v>Kathleen</v>
      </c>
      <c r="T68">
        <v>67</v>
      </c>
    </row>
    <row r="69" spans="17:20" x14ac:dyDescent="0.35">
      <c r="Q69">
        <f t="shared" si="5"/>
        <v>0</v>
      </c>
      <c r="R69">
        <f t="shared" si="6"/>
        <v>0</v>
      </c>
      <c r="S69" t="str">
        <f t="shared" si="7"/>
        <v>Kathleen</v>
      </c>
      <c r="T69">
        <v>68</v>
      </c>
    </row>
    <row r="70" spans="17:20" x14ac:dyDescent="0.35">
      <c r="Q70">
        <f t="shared" si="5"/>
        <v>0</v>
      </c>
      <c r="R70">
        <f t="shared" si="6"/>
        <v>0</v>
      </c>
      <c r="S70" t="str">
        <f t="shared" si="7"/>
        <v>Kathleen</v>
      </c>
      <c r="T70">
        <v>69</v>
      </c>
    </row>
    <row r="71" spans="17:20" x14ac:dyDescent="0.35">
      <c r="Q71">
        <f t="shared" si="5"/>
        <v>0</v>
      </c>
      <c r="R71">
        <f t="shared" si="6"/>
        <v>0</v>
      </c>
      <c r="S71" t="str">
        <f t="shared" si="7"/>
        <v>Kathleen</v>
      </c>
      <c r="T71">
        <v>70</v>
      </c>
    </row>
    <row r="72" spans="17:20" x14ac:dyDescent="0.35">
      <c r="Q72">
        <f t="shared" si="5"/>
        <v>0</v>
      </c>
      <c r="R72">
        <f t="shared" si="6"/>
        <v>0</v>
      </c>
      <c r="S72" t="str">
        <f t="shared" si="7"/>
        <v>Kathleen</v>
      </c>
      <c r="T72">
        <v>71</v>
      </c>
    </row>
    <row r="73" spans="17:20" x14ac:dyDescent="0.35">
      <c r="Q73">
        <f t="shared" si="5"/>
        <v>0</v>
      </c>
      <c r="R73">
        <f t="shared" si="6"/>
        <v>0</v>
      </c>
      <c r="S73" t="str">
        <f t="shared" si="7"/>
        <v>Kathleen</v>
      </c>
      <c r="T73">
        <v>72</v>
      </c>
    </row>
    <row r="74" spans="17:20" x14ac:dyDescent="0.35">
      <c r="Q74">
        <f t="shared" si="5"/>
        <v>0</v>
      </c>
      <c r="R74">
        <f t="shared" si="6"/>
        <v>0</v>
      </c>
      <c r="S74" t="str">
        <f t="shared" si="7"/>
        <v>Kathleen</v>
      </c>
      <c r="T74">
        <v>73</v>
      </c>
    </row>
    <row r="75" spans="17:20" x14ac:dyDescent="0.35">
      <c r="Q75">
        <f t="shared" si="5"/>
        <v>0</v>
      </c>
      <c r="R75">
        <f t="shared" si="6"/>
        <v>0</v>
      </c>
      <c r="S75" t="str">
        <f t="shared" si="7"/>
        <v>Kathleen</v>
      </c>
      <c r="T75">
        <v>74</v>
      </c>
    </row>
    <row r="76" spans="17:20" x14ac:dyDescent="0.35">
      <c r="Q76">
        <f t="shared" si="5"/>
        <v>0</v>
      </c>
      <c r="R76">
        <f t="shared" si="6"/>
        <v>0</v>
      </c>
      <c r="S76" t="str">
        <f t="shared" si="7"/>
        <v>Kathleen</v>
      </c>
      <c r="T76">
        <v>75</v>
      </c>
    </row>
    <row r="77" spans="17:20" x14ac:dyDescent="0.35">
      <c r="Q77">
        <f t="shared" si="5"/>
        <v>0</v>
      </c>
      <c r="R77">
        <f t="shared" si="6"/>
        <v>0</v>
      </c>
      <c r="S77" t="str">
        <f t="shared" si="7"/>
        <v>Kathleen</v>
      </c>
      <c r="T77">
        <v>76</v>
      </c>
    </row>
    <row r="78" spans="17:20" x14ac:dyDescent="0.35">
      <c r="Q78">
        <f t="shared" si="5"/>
        <v>0</v>
      </c>
      <c r="R78">
        <f t="shared" si="6"/>
        <v>0</v>
      </c>
      <c r="S78" t="str">
        <f t="shared" si="7"/>
        <v>Kathleen</v>
      </c>
      <c r="T78">
        <v>77</v>
      </c>
    </row>
    <row r="79" spans="17:20" x14ac:dyDescent="0.35">
      <c r="Q79">
        <f t="shared" si="5"/>
        <v>0</v>
      </c>
      <c r="R79">
        <f t="shared" si="6"/>
        <v>0</v>
      </c>
      <c r="S79" t="str">
        <f t="shared" si="7"/>
        <v>Kathleen</v>
      </c>
      <c r="T79">
        <v>78</v>
      </c>
    </row>
    <row r="80" spans="17:20" x14ac:dyDescent="0.35">
      <c r="Q80">
        <f t="shared" si="5"/>
        <v>0</v>
      </c>
      <c r="R80">
        <f t="shared" si="6"/>
        <v>0</v>
      </c>
      <c r="S80" t="str">
        <f t="shared" si="7"/>
        <v>Kathleen</v>
      </c>
      <c r="T80">
        <v>79</v>
      </c>
    </row>
    <row r="81" spans="17:20" x14ac:dyDescent="0.35">
      <c r="Q81">
        <f t="shared" si="5"/>
        <v>0</v>
      </c>
      <c r="R81">
        <f t="shared" si="6"/>
        <v>0</v>
      </c>
      <c r="S81" t="str">
        <f t="shared" si="7"/>
        <v>Kathleen</v>
      </c>
      <c r="T81">
        <v>80</v>
      </c>
    </row>
    <row r="82" spans="17:20" x14ac:dyDescent="0.35">
      <c r="Q82">
        <f t="shared" si="5"/>
        <v>0</v>
      </c>
      <c r="R82">
        <f t="shared" si="6"/>
        <v>0</v>
      </c>
      <c r="S82" t="str">
        <f t="shared" si="7"/>
        <v>Kathleen</v>
      </c>
      <c r="T82">
        <v>81</v>
      </c>
    </row>
    <row r="83" spans="17:20" x14ac:dyDescent="0.35">
      <c r="Q83">
        <f t="shared" si="5"/>
        <v>0</v>
      </c>
      <c r="R83">
        <f t="shared" si="6"/>
        <v>0</v>
      </c>
      <c r="S83" t="str">
        <f t="shared" si="7"/>
        <v>Kathleen</v>
      </c>
      <c r="T83">
        <v>82</v>
      </c>
    </row>
    <row r="84" spans="17:20" x14ac:dyDescent="0.35">
      <c r="Q84">
        <f t="shared" si="5"/>
        <v>0</v>
      </c>
      <c r="R84">
        <f t="shared" si="6"/>
        <v>0</v>
      </c>
      <c r="S84" t="str">
        <f t="shared" si="7"/>
        <v>Kathleen</v>
      </c>
      <c r="T84">
        <v>83</v>
      </c>
    </row>
    <row r="85" spans="17:20" x14ac:dyDescent="0.35">
      <c r="Q85">
        <f t="shared" si="5"/>
        <v>0</v>
      </c>
      <c r="R85">
        <f t="shared" si="6"/>
        <v>0</v>
      </c>
      <c r="S85" t="str">
        <f t="shared" si="7"/>
        <v>Kathleen</v>
      </c>
      <c r="T85">
        <v>84</v>
      </c>
    </row>
    <row r="86" spans="17:20" x14ac:dyDescent="0.35">
      <c r="Q86">
        <f t="shared" si="5"/>
        <v>0</v>
      </c>
      <c r="R86">
        <f t="shared" si="6"/>
        <v>0</v>
      </c>
      <c r="S86" t="str">
        <f t="shared" si="7"/>
        <v>Kathleen</v>
      </c>
      <c r="T86">
        <v>85</v>
      </c>
    </row>
    <row r="87" spans="17:20" x14ac:dyDescent="0.35">
      <c r="Q87">
        <f t="shared" si="5"/>
        <v>0</v>
      </c>
      <c r="R87">
        <f t="shared" si="6"/>
        <v>0</v>
      </c>
      <c r="S87" t="str">
        <f t="shared" si="7"/>
        <v>Kathleen</v>
      </c>
      <c r="T87">
        <v>86</v>
      </c>
    </row>
    <row r="88" spans="17:20" x14ac:dyDescent="0.35">
      <c r="Q88">
        <f t="shared" si="5"/>
        <v>0</v>
      </c>
      <c r="R88">
        <f t="shared" si="6"/>
        <v>0</v>
      </c>
      <c r="S88" t="str">
        <f t="shared" si="7"/>
        <v>Kathleen</v>
      </c>
      <c r="T88">
        <v>87</v>
      </c>
    </row>
    <row r="89" spans="17:20" x14ac:dyDescent="0.35">
      <c r="Q89">
        <f t="shared" si="5"/>
        <v>0</v>
      </c>
      <c r="R89">
        <f t="shared" si="6"/>
        <v>0</v>
      </c>
      <c r="S89" t="str">
        <f t="shared" si="7"/>
        <v>Kathleen</v>
      </c>
      <c r="T89">
        <v>88</v>
      </c>
    </row>
    <row r="90" spans="17:20" x14ac:dyDescent="0.35">
      <c r="Q90">
        <f t="shared" si="5"/>
        <v>0</v>
      </c>
      <c r="R90">
        <f t="shared" si="6"/>
        <v>0</v>
      </c>
      <c r="S90" t="str">
        <f t="shared" si="7"/>
        <v>Kathleen</v>
      </c>
      <c r="T90">
        <v>89</v>
      </c>
    </row>
    <row r="91" spans="17:20" x14ac:dyDescent="0.35">
      <c r="Q91">
        <f t="shared" si="5"/>
        <v>0</v>
      </c>
      <c r="R91">
        <f t="shared" si="6"/>
        <v>0</v>
      </c>
      <c r="S91" t="str">
        <f t="shared" si="7"/>
        <v>Kathleen</v>
      </c>
      <c r="T91">
        <v>90</v>
      </c>
    </row>
    <row r="92" spans="17:20" x14ac:dyDescent="0.35">
      <c r="Q92">
        <f t="shared" si="5"/>
        <v>0</v>
      </c>
      <c r="R92">
        <f t="shared" si="6"/>
        <v>0</v>
      </c>
      <c r="S92" t="str">
        <f t="shared" si="7"/>
        <v>Kathleen</v>
      </c>
      <c r="T92">
        <v>91</v>
      </c>
    </row>
    <row r="93" spans="17:20" x14ac:dyDescent="0.35">
      <c r="Q93">
        <f t="shared" si="5"/>
        <v>0</v>
      </c>
      <c r="R93">
        <f t="shared" si="6"/>
        <v>0</v>
      </c>
      <c r="S93" t="str">
        <f t="shared" si="7"/>
        <v>Kathleen</v>
      </c>
      <c r="T93">
        <v>92</v>
      </c>
    </row>
    <row r="94" spans="17:20" x14ac:dyDescent="0.35">
      <c r="Q94">
        <f t="shared" si="5"/>
        <v>0</v>
      </c>
      <c r="R94">
        <f t="shared" si="6"/>
        <v>0</v>
      </c>
      <c r="S94" t="str">
        <f t="shared" si="7"/>
        <v>Kathleen</v>
      </c>
      <c r="T94">
        <v>93</v>
      </c>
    </row>
    <row r="95" spans="17:20" x14ac:dyDescent="0.35">
      <c r="Q95">
        <f t="shared" si="5"/>
        <v>0</v>
      </c>
      <c r="R95">
        <f t="shared" si="6"/>
        <v>0</v>
      </c>
      <c r="S95" t="str">
        <f t="shared" si="7"/>
        <v>Kathleen</v>
      </c>
      <c r="T95">
        <v>94</v>
      </c>
    </row>
    <row r="96" spans="17:20" x14ac:dyDescent="0.35">
      <c r="Q96">
        <f t="shared" si="5"/>
        <v>0</v>
      </c>
      <c r="R96">
        <f t="shared" si="6"/>
        <v>0</v>
      </c>
      <c r="S96" t="str">
        <f t="shared" si="7"/>
        <v>Kathleen</v>
      </c>
      <c r="T96">
        <v>95</v>
      </c>
    </row>
    <row r="97" spans="17:20" x14ac:dyDescent="0.35">
      <c r="Q97">
        <f t="shared" si="5"/>
        <v>0</v>
      </c>
      <c r="R97">
        <f t="shared" si="6"/>
        <v>0</v>
      </c>
      <c r="S97" t="str">
        <f t="shared" si="7"/>
        <v>Kathleen</v>
      </c>
      <c r="T97">
        <v>96</v>
      </c>
    </row>
    <row r="98" spans="17:20" x14ac:dyDescent="0.35">
      <c r="Q98">
        <f t="shared" si="5"/>
        <v>0</v>
      </c>
      <c r="R98">
        <f t="shared" si="6"/>
        <v>0</v>
      </c>
      <c r="S98" t="str">
        <f t="shared" si="7"/>
        <v>Kathleen</v>
      </c>
      <c r="T98">
        <v>97</v>
      </c>
    </row>
    <row r="99" spans="17:20" x14ac:dyDescent="0.35">
      <c r="Q99">
        <f t="shared" ref="Q99:Q162" si="8">SUM(A99,C99,E99,G99,I99,K99,M99,O99)</f>
        <v>0</v>
      </c>
      <c r="R99">
        <f t="shared" ref="R99:R162" si="9">SUM(B99,D99,F99,H99,J99,L99,N99,P99)</f>
        <v>0</v>
      </c>
      <c r="S99" t="str">
        <f t="shared" si="7"/>
        <v>Kathleen</v>
      </c>
      <c r="T99">
        <v>98</v>
      </c>
    </row>
    <row r="100" spans="17:20" x14ac:dyDescent="0.35">
      <c r="Q100">
        <f t="shared" si="8"/>
        <v>0</v>
      </c>
      <c r="R100">
        <f t="shared" si="9"/>
        <v>0</v>
      </c>
      <c r="S100" t="str">
        <f t="shared" si="7"/>
        <v>Kathleen</v>
      </c>
      <c r="T100">
        <v>99</v>
      </c>
    </row>
    <row r="101" spans="17:20" x14ac:dyDescent="0.35">
      <c r="Q101">
        <f t="shared" si="8"/>
        <v>0</v>
      </c>
      <c r="R101">
        <f t="shared" si="9"/>
        <v>0</v>
      </c>
      <c r="S101" t="str">
        <f t="shared" si="7"/>
        <v>Kathleen</v>
      </c>
      <c r="T101">
        <v>100</v>
      </c>
    </row>
    <row r="102" spans="17:20" x14ac:dyDescent="0.35">
      <c r="Q102">
        <f t="shared" si="8"/>
        <v>0</v>
      </c>
      <c r="R102">
        <f t="shared" si="9"/>
        <v>0</v>
      </c>
      <c r="S102" t="str">
        <f t="shared" si="7"/>
        <v>Kathleen</v>
      </c>
      <c r="T102">
        <v>101</v>
      </c>
    </row>
    <row r="103" spans="17:20" x14ac:dyDescent="0.35">
      <c r="Q103">
        <f t="shared" si="8"/>
        <v>0</v>
      </c>
      <c r="R103">
        <f t="shared" si="9"/>
        <v>0</v>
      </c>
      <c r="S103" t="str">
        <f t="shared" si="7"/>
        <v>Kathleen</v>
      </c>
      <c r="T103">
        <v>102</v>
      </c>
    </row>
    <row r="104" spans="17:20" x14ac:dyDescent="0.35">
      <c r="Q104">
        <f t="shared" si="8"/>
        <v>0</v>
      </c>
      <c r="R104">
        <f t="shared" si="9"/>
        <v>0</v>
      </c>
      <c r="S104" t="str">
        <f t="shared" si="7"/>
        <v>Kathleen</v>
      </c>
      <c r="T104">
        <v>103</v>
      </c>
    </row>
    <row r="105" spans="17:20" x14ac:dyDescent="0.35">
      <c r="Q105">
        <f t="shared" si="8"/>
        <v>0</v>
      </c>
      <c r="R105">
        <f t="shared" si="9"/>
        <v>0</v>
      </c>
      <c r="S105" t="str">
        <f t="shared" si="7"/>
        <v>Kathleen</v>
      </c>
      <c r="T105">
        <v>104</v>
      </c>
    </row>
    <row r="106" spans="17:20" x14ac:dyDescent="0.35">
      <c r="Q106">
        <f t="shared" si="8"/>
        <v>0</v>
      </c>
      <c r="R106">
        <f t="shared" si="9"/>
        <v>0</v>
      </c>
      <c r="S106" t="str">
        <f t="shared" si="7"/>
        <v>Kathleen</v>
      </c>
      <c r="T106">
        <v>105</v>
      </c>
    </row>
    <row r="107" spans="17:20" x14ac:dyDescent="0.35">
      <c r="Q107">
        <f t="shared" si="8"/>
        <v>0</v>
      </c>
      <c r="R107">
        <f t="shared" si="9"/>
        <v>0</v>
      </c>
      <c r="S107" t="str">
        <f t="shared" si="7"/>
        <v>Kathleen</v>
      </c>
      <c r="T107">
        <v>106</v>
      </c>
    </row>
    <row r="108" spans="17:20" x14ac:dyDescent="0.35">
      <c r="Q108">
        <f t="shared" si="8"/>
        <v>0</v>
      </c>
      <c r="R108">
        <f t="shared" si="9"/>
        <v>0</v>
      </c>
      <c r="S108" t="str">
        <f t="shared" si="7"/>
        <v>Kathleen</v>
      </c>
      <c r="T108">
        <v>107</v>
      </c>
    </row>
    <row r="109" spans="17:20" x14ac:dyDescent="0.35">
      <c r="Q109">
        <f t="shared" si="8"/>
        <v>0</v>
      </c>
      <c r="R109">
        <f t="shared" si="9"/>
        <v>0</v>
      </c>
      <c r="S109" t="str">
        <f t="shared" si="7"/>
        <v>Kathleen</v>
      </c>
      <c r="T109">
        <v>108</v>
      </c>
    </row>
    <row r="110" spans="17:20" x14ac:dyDescent="0.35">
      <c r="Q110">
        <f t="shared" si="8"/>
        <v>0</v>
      </c>
      <c r="R110">
        <f t="shared" si="9"/>
        <v>0</v>
      </c>
      <c r="S110" t="str">
        <f t="shared" si="7"/>
        <v>Kathleen</v>
      </c>
      <c r="T110">
        <v>109</v>
      </c>
    </row>
    <row r="111" spans="17:20" x14ac:dyDescent="0.35">
      <c r="Q111">
        <f t="shared" si="8"/>
        <v>0</v>
      </c>
      <c r="R111">
        <f t="shared" si="9"/>
        <v>0</v>
      </c>
      <c r="S111" t="str">
        <f t="shared" si="7"/>
        <v>Kathleen</v>
      </c>
      <c r="T111">
        <v>110</v>
      </c>
    </row>
    <row r="112" spans="17:20" x14ac:dyDescent="0.35">
      <c r="Q112">
        <f t="shared" si="8"/>
        <v>0</v>
      </c>
      <c r="R112">
        <f t="shared" si="9"/>
        <v>0</v>
      </c>
      <c r="S112" t="str">
        <f t="shared" si="7"/>
        <v>Kathleen</v>
      </c>
      <c r="T112">
        <v>111</v>
      </c>
    </row>
    <row r="113" spans="17:20" x14ac:dyDescent="0.35">
      <c r="Q113">
        <f t="shared" si="8"/>
        <v>0</v>
      </c>
      <c r="R113">
        <f t="shared" si="9"/>
        <v>0</v>
      </c>
      <c r="S113" t="str">
        <f t="shared" si="7"/>
        <v>Kathleen</v>
      </c>
      <c r="T113">
        <v>112</v>
      </c>
    </row>
    <row r="114" spans="17:20" x14ac:dyDescent="0.35">
      <c r="Q114">
        <f t="shared" si="8"/>
        <v>0</v>
      </c>
      <c r="R114">
        <f t="shared" si="9"/>
        <v>0</v>
      </c>
      <c r="S114" t="str">
        <f t="shared" si="7"/>
        <v>Kathleen</v>
      </c>
      <c r="T114">
        <v>113</v>
      </c>
    </row>
    <row r="115" spans="17:20" x14ac:dyDescent="0.35">
      <c r="Q115">
        <f t="shared" si="8"/>
        <v>0</v>
      </c>
      <c r="R115">
        <f t="shared" si="9"/>
        <v>0</v>
      </c>
      <c r="S115" t="str">
        <f t="shared" si="7"/>
        <v>Kathleen</v>
      </c>
      <c r="T115">
        <v>114</v>
      </c>
    </row>
    <row r="116" spans="17:20" x14ac:dyDescent="0.35">
      <c r="Q116">
        <f t="shared" si="8"/>
        <v>0</v>
      </c>
      <c r="R116">
        <f t="shared" si="9"/>
        <v>0</v>
      </c>
      <c r="S116" t="str">
        <f t="shared" si="7"/>
        <v>Kathleen</v>
      </c>
      <c r="T116">
        <v>115</v>
      </c>
    </row>
    <row r="117" spans="17:20" x14ac:dyDescent="0.35">
      <c r="Q117">
        <f t="shared" si="8"/>
        <v>0</v>
      </c>
      <c r="R117">
        <f t="shared" si="9"/>
        <v>0</v>
      </c>
      <c r="S117" t="str">
        <f t="shared" si="7"/>
        <v>Kathleen</v>
      </c>
      <c r="T117">
        <v>116</v>
      </c>
    </row>
    <row r="118" spans="17:20" x14ac:dyDescent="0.35">
      <c r="Q118">
        <f t="shared" si="8"/>
        <v>0</v>
      </c>
      <c r="R118">
        <f t="shared" si="9"/>
        <v>0</v>
      </c>
      <c r="S118" t="str">
        <f t="shared" si="7"/>
        <v>Kathleen</v>
      </c>
      <c r="T118">
        <v>117</v>
      </c>
    </row>
    <row r="119" spans="17:20" x14ac:dyDescent="0.35">
      <c r="Q119">
        <f t="shared" si="8"/>
        <v>0</v>
      </c>
      <c r="R119">
        <f t="shared" si="9"/>
        <v>0</v>
      </c>
      <c r="S119" t="str">
        <f t="shared" si="7"/>
        <v>Kathleen</v>
      </c>
      <c r="T119">
        <v>118</v>
      </c>
    </row>
    <row r="120" spans="17:20" x14ac:dyDescent="0.35">
      <c r="Q120">
        <f t="shared" si="8"/>
        <v>0</v>
      </c>
      <c r="R120">
        <f t="shared" si="9"/>
        <v>0</v>
      </c>
      <c r="S120" t="str">
        <f t="shared" si="7"/>
        <v>Kathleen</v>
      </c>
      <c r="T120">
        <v>119</v>
      </c>
    </row>
    <row r="121" spans="17:20" x14ac:dyDescent="0.35">
      <c r="Q121">
        <f t="shared" si="8"/>
        <v>0</v>
      </c>
      <c r="R121">
        <f t="shared" si="9"/>
        <v>0</v>
      </c>
      <c r="S121" t="str">
        <f t="shared" si="7"/>
        <v>Kathleen</v>
      </c>
      <c r="T121">
        <v>120</v>
      </c>
    </row>
    <row r="122" spans="17:20" x14ac:dyDescent="0.35">
      <c r="Q122">
        <f t="shared" si="8"/>
        <v>0</v>
      </c>
      <c r="R122">
        <f t="shared" si="9"/>
        <v>0</v>
      </c>
      <c r="S122" t="str">
        <f t="shared" si="7"/>
        <v>Kathleen</v>
      </c>
      <c r="T122">
        <v>121</v>
      </c>
    </row>
    <row r="123" spans="17:20" x14ac:dyDescent="0.35">
      <c r="Q123">
        <f t="shared" si="8"/>
        <v>0</v>
      </c>
      <c r="R123">
        <f t="shared" si="9"/>
        <v>0</v>
      </c>
      <c r="S123" t="str">
        <f t="shared" si="7"/>
        <v>Kathleen</v>
      </c>
      <c r="T123">
        <v>122</v>
      </c>
    </row>
    <row r="124" spans="17:20" x14ac:dyDescent="0.35">
      <c r="Q124">
        <f t="shared" si="8"/>
        <v>0</v>
      </c>
      <c r="R124">
        <f t="shared" si="9"/>
        <v>0</v>
      </c>
      <c r="S124" t="str">
        <f t="shared" si="7"/>
        <v>Kathleen</v>
      </c>
      <c r="T124">
        <v>123</v>
      </c>
    </row>
    <row r="125" spans="17:20" x14ac:dyDescent="0.35">
      <c r="Q125">
        <f t="shared" si="8"/>
        <v>0</v>
      </c>
      <c r="R125">
        <f t="shared" si="9"/>
        <v>0</v>
      </c>
      <c r="S125" t="str">
        <f t="shared" si="7"/>
        <v>Kathleen</v>
      </c>
      <c r="T125">
        <v>124</v>
      </c>
    </row>
    <row r="126" spans="17:20" x14ac:dyDescent="0.35">
      <c r="Q126">
        <f t="shared" si="8"/>
        <v>0</v>
      </c>
      <c r="R126">
        <f t="shared" si="9"/>
        <v>0</v>
      </c>
      <c r="S126" t="str">
        <f t="shared" si="7"/>
        <v>Kathleen</v>
      </c>
      <c r="T126">
        <v>125</v>
      </c>
    </row>
    <row r="127" spans="17:20" x14ac:dyDescent="0.35">
      <c r="Q127">
        <f t="shared" si="8"/>
        <v>0</v>
      </c>
      <c r="R127">
        <f t="shared" si="9"/>
        <v>0</v>
      </c>
      <c r="S127" t="str">
        <f t="shared" si="7"/>
        <v>Kathleen</v>
      </c>
      <c r="T127">
        <v>126</v>
      </c>
    </row>
    <row r="128" spans="17:20" x14ac:dyDescent="0.35">
      <c r="Q128">
        <f t="shared" si="8"/>
        <v>0</v>
      </c>
      <c r="R128">
        <f t="shared" si="9"/>
        <v>0</v>
      </c>
      <c r="S128" t="str">
        <f t="shared" si="7"/>
        <v>Kathleen</v>
      </c>
      <c r="T128">
        <v>127</v>
      </c>
    </row>
    <row r="129" spans="17:20" x14ac:dyDescent="0.35">
      <c r="Q129">
        <f t="shared" si="8"/>
        <v>0</v>
      </c>
      <c r="R129">
        <f t="shared" si="9"/>
        <v>0</v>
      </c>
      <c r="S129" t="str">
        <f t="shared" si="7"/>
        <v>Kathleen</v>
      </c>
      <c r="T129">
        <v>128</v>
      </c>
    </row>
    <row r="130" spans="17:20" x14ac:dyDescent="0.35">
      <c r="Q130">
        <f t="shared" si="8"/>
        <v>0</v>
      </c>
      <c r="R130">
        <f t="shared" si="9"/>
        <v>0</v>
      </c>
      <c r="S130" t="str">
        <f t="shared" si="7"/>
        <v>Kathleen</v>
      </c>
      <c r="T130">
        <v>129</v>
      </c>
    </row>
    <row r="131" spans="17:20" x14ac:dyDescent="0.35">
      <c r="Q131">
        <f t="shared" si="8"/>
        <v>0</v>
      </c>
      <c r="R131">
        <f t="shared" si="9"/>
        <v>0</v>
      </c>
      <c r="S131" t="str">
        <f t="shared" ref="S131:S194" si="10">IF(Q131&lt;R131, "Emily", "Kathleen")</f>
        <v>Kathleen</v>
      </c>
      <c r="T131">
        <v>130</v>
      </c>
    </row>
    <row r="132" spans="17:20" x14ac:dyDescent="0.35">
      <c r="Q132">
        <f t="shared" si="8"/>
        <v>0</v>
      </c>
      <c r="R132">
        <f t="shared" si="9"/>
        <v>0</v>
      </c>
      <c r="S132" t="str">
        <f t="shared" si="10"/>
        <v>Kathleen</v>
      </c>
      <c r="T132">
        <v>131</v>
      </c>
    </row>
    <row r="133" spans="17:20" x14ac:dyDescent="0.35">
      <c r="Q133">
        <f t="shared" si="8"/>
        <v>0</v>
      </c>
      <c r="R133">
        <f t="shared" si="9"/>
        <v>0</v>
      </c>
      <c r="S133" t="str">
        <f t="shared" si="10"/>
        <v>Kathleen</v>
      </c>
      <c r="T133">
        <v>132</v>
      </c>
    </row>
    <row r="134" spans="17:20" x14ac:dyDescent="0.35">
      <c r="Q134">
        <f t="shared" si="8"/>
        <v>0</v>
      </c>
      <c r="R134">
        <f t="shared" si="9"/>
        <v>0</v>
      </c>
      <c r="S134" t="str">
        <f t="shared" si="10"/>
        <v>Kathleen</v>
      </c>
      <c r="T134">
        <v>133</v>
      </c>
    </row>
    <row r="135" spans="17:20" x14ac:dyDescent="0.35">
      <c r="Q135">
        <f t="shared" si="8"/>
        <v>0</v>
      </c>
      <c r="R135">
        <f t="shared" si="9"/>
        <v>0</v>
      </c>
      <c r="S135" t="str">
        <f t="shared" si="10"/>
        <v>Kathleen</v>
      </c>
      <c r="T135">
        <v>134</v>
      </c>
    </row>
    <row r="136" spans="17:20" x14ac:dyDescent="0.35">
      <c r="Q136">
        <f t="shared" si="8"/>
        <v>0</v>
      </c>
      <c r="R136">
        <f t="shared" si="9"/>
        <v>0</v>
      </c>
      <c r="S136" t="str">
        <f t="shared" si="10"/>
        <v>Kathleen</v>
      </c>
      <c r="T136">
        <v>135</v>
      </c>
    </row>
    <row r="137" spans="17:20" x14ac:dyDescent="0.35">
      <c r="Q137">
        <f t="shared" si="8"/>
        <v>0</v>
      </c>
      <c r="R137">
        <f t="shared" si="9"/>
        <v>0</v>
      </c>
      <c r="S137" t="str">
        <f t="shared" si="10"/>
        <v>Kathleen</v>
      </c>
      <c r="T137">
        <v>136</v>
      </c>
    </row>
    <row r="138" spans="17:20" x14ac:dyDescent="0.35">
      <c r="Q138">
        <f t="shared" si="8"/>
        <v>0</v>
      </c>
      <c r="R138">
        <f t="shared" si="9"/>
        <v>0</v>
      </c>
      <c r="S138" t="str">
        <f t="shared" si="10"/>
        <v>Kathleen</v>
      </c>
      <c r="T138">
        <v>137</v>
      </c>
    </row>
    <row r="139" spans="17:20" x14ac:dyDescent="0.35">
      <c r="Q139">
        <f t="shared" si="8"/>
        <v>0</v>
      </c>
      <c r="R139">
        <f t="shared" si="9"/>
        <v>0</v>
      </c>
      <c r="S139" t="str">
        <f t="shared" si="10"/>
        <v>Kathleen</v>
      </c>
      <c r="T139">
        <v>138</v>
      </c>
    </row>
    <row r="140" spans="17:20" x14ac:dyDescent="0.35">
      <c r="Q140">
        <f t="shared" si="8"/>
        <v>0</v>
      </c>
      <c r="R140">
        <f t="shared" si="9"/>
        <v>0</v>
      </c>
      <c r="S140" t="str">
        <f t="shared" si="10"/>
        <v>Kathleen</v>
      </c>
      <c r="T140">
        <v>139</v>
      </c>
    </row>
    <row r="141" spans="17:20" x14ac:dyDescent="0.35">
      <c r="Q141">
        <f t="shared" si="8"/>
        <v>0</v>
      </c>
      <c r="R141">
        <f t="shared" si="9"/>
        <v>0</v>
      </c>
      <c r="S141" t="str">
        <f t="shared" si="10"/>
        <v>Kathleen</v>
      </c>
      <c r="T141">
        <v>140</v>
      </c>
    </row>
    <row r="142" spans="17:20" x14ac:dyDescent="0.35">
      <c r="Q142">
        <f t="shared" si="8"/>
        <v>0</v>
      </c>
      <c r="R142">
        <f t="shared" si="9"/>
        <v>0</v>
      </c>
      <c r="S142" t="str">
        <f t="shared" si="10"/>
        <v>Kathleen</v>
      </c>
      <c r="T142">
        <v>141</v>
      </c>
    </row>
    <row r="143" spans="17:20" x14ac:dyDescent="0.35">
      <c r="Q143">
        <f t="shared" si="8"/>
        <v>0</v>
      </c>
      <c r="R143">
        <f t="shared" si="9"/>
        <v>0</v>
      </c>
      <c r="S143" t="str">
        <f t="shared" si="10"/>
        <v>Kathleen</v>
      </c>
      <c r="T143">
        <v>142</v>
      </c>
    </row>
    <row r="144" spans="17:20" x14ac:dyDescent="0.35">
      <c r="Q144">
        <f t="shared" si="8"/>
        <v>0</v>
      </c>
      <c r="R144">
        <f t="shared" si="9"/>
        <v>0</v>
      </c>
      <c r="S144" t="str">
        <f t="shared" si="10"/>
        <v>Kathleen</v>
      </c>
      <c r="T144">
        <v>143</v>
      </c>
    </row>
    <row r="145" spans="17:20" x14ac:dyDescent="0.35">
      <c r="Q145">
        <f t="shared" si="8"/>
        <v>0</v>
      </c>
      <c r="R145">
        <f t="shared" si="9"/>
        <v>0</v>
      </c>
      <c r="S145" t="str">
        <f t="shared" si="10"/>
        <v>Kathleen</v>
      </c>
      <c r="T145">
        <v>144</v>
      </c>
    </row>
    <row r="146" spans="17:20" x14ac:dyDescent="0.35">
      <c r="Q146">
        <f t="shared" si="8"/>
        <v>0</v>
      </c>
      <c r="R146">
        <f t="shared" si="9"/>
        <v>0</v>
      </c>
      <c r="S146" t="str">
        <f t="shared" si="10"/>
        <v>Kathleen</v>
      </c>
      <c r="T146">
        <v>145</v>
      </c>
    </row>
    <row r="147" spans="17:20" x14ac:dyDescent="0.35">
      <c r="Q147">
        <f t="shared" si="8"/>
        <v>0</v>
      </c>
      <c r="R147">
        <f t="shared" si="9"/>
        <v>0</v>
      </c>
      <c r="S147" t="str">
        <f t="shared" si="10"/>
        <v>Kathleen</v>
      </c>
      <c r="T147">
        <v>146</v>
      </c>
    </row>
    <row r="148" spans="17:20" x14ac:dyDescent="0.35">
      <c r="Q148">
        <f t="shared" si="8"/>
        <v>0</v>
      </c>
      <c r="R148">
        <f t="shared" si="9"/>
        <v>0</v>
      </c>
      <c r="S148" t="str">
        <f t="shared" si="10"/>
        <v>Kathleen</v>
      </c>
      <c r="T148">
        <v>147</v>
      </c>
    </row>
    <row r="149" spans="17:20" x14ac:dyDescent="0.35">
      <c r="Q149">
        <f t="shared" si="8"/>
        <v>0</v>
      </c>
      <c r="R149">
        <f t="shared" si="9"/>
        <v>0</v>
      </c>
      <c r="S149" t="str">
        <f t="shared" si="10"/>
        <v>Kathleen</v>
      </c>
      <c r="T149">
        <v>148</v>
      </c>
    </row>
    <row r="150" spans="17:20" x14ac:dyDescent="0.35">
      <c r="Q150">
        <f t="shared" si="8"/>
        <v>0</v>
      </c>
      <c r="R150">
        <f t="shared" si="9"/>
        <v>0</v>
      </c>
      <c r="S150" t="str">
        <f t="shared" si="10"/>
        <v>Kathleen</v>
      </c>
      <c r="T150">
        <v>149</v>
      </c>
    </row>
    <row r="151" spans="17:20" x14ac:dyDescent="0.35">
      <c r="Q151">
        <f t="shared" si="8"/>
        <v>0</v>
      </c>
      <c r="R151">
        <f t="shared" si="9"/>
        <v>0</v>
      </c>
      <c r="S151" t="str">
        <f t="shared" si="10"/>
        <v>Kathleen</v>
      </c>
      <c r="T151">
        <v>150</v>
      </c>
    </row>
    <row r="152" spans="17:20" x14ac:dyDescent="0.35">
      <c r="Q152">
        <f t="shared" si="8"/>
        <v>0</v>
      </c>
      <c r="R152">
        <f t="shared" si="9"/>
        <v>0</v>
      </c>
      <c r="S152" t="str">
        <f t="shared" si="10"/>
        <v>Kathleen</v>
      </c>
      <c r="T152">
        <v>151</v>
      </c>
    </row>
    <row r="153" spans="17:20" x14ac:dyDescent="0.35">
      <c r="Q153">
        <f t="shared" si="8"/>
        <v>0</v>
      </c>
      <c r="R153">
        <f t="shared" si="9"/>
        <v>0</v>
      </c>
      <c r="S153" t="str">
        <f t="shared" si="10"/>
        <v>Kathleen</v>
      </c>
      <c r="T153">
        <v>152</v>
      </c>
    </row>
    <row r="154" spans="17:20" x14ac:dyDescent="0.35">
      <c r="Q154">
        <f t="shared" si="8"/>
        <v>0</v>
      </c>
      <c r="R154">
        <f t="shared" si="9"/>
        <v>0</v>
      </c>
      <c r="S154" t="str">
        <f t="shared" si="10"/>
        <v>Kathleen</v>
      </c>
      <c r="T154">
        <v>153</v>
      </c>
    </row>
    <row r="155" spans="17:20" x14ac:dyDescent="0.35">
      <c r="Q155">
        <f t="shared" si="8"/>
        <v>0</v>
      </c>
      <c r="R155">
        <f t="shared" si="9"/>
        <v>0</v>
      </c>
      <c r="S155" t="str">
        <f t="shared" si="10"/>
        <v>Kathleen</v>
      </c>
      <c r="T155">
        <v>154</v>
      </c>
    </row>
    <row r="156" spans="17:20" x14ac:dyDescent="0.35">
      <c r="Q156">
        <f t="shared" si="8"/>
        <v>0</v>
      </c>
      <c r="R156">
        <f t="shared" si="9"/>
        <v>0</v>
      </c>
      <c r="S156" t="str">
        <f t="shared" si="10"/>
        <v>Kathleen</v>
      </c>
      <c r="T156">
        <v>155</v>
      </c>
    </row>
    <row r="157" spans="17:20" x14ac:dyDescent="0.35">
      <c r="Q157">
        <f t="shared" si="8"/>
        <v>0</v>
      </c>
      <c r="R157">
        <f t="shared" si="9"/>
        <v>0</v>
      </c>
      <c r="S157" t="str">
        <f t="shared" si="10"/>
        <v>Kathleen</v>
      </c>
      <c r="T157">
        <v>156</v>
      </c>
    </row>
    <row r="158" spans="17:20" x14ac:dyDescent="0.35">
      <c r="Q158">
        <f t="shared" si="8"/>
        <v>0</v>
      </c>
      <c r="R158">
        <f t="shared" si="9"/>
        <v>0</v>
      </c>
      <c r="S158" t="str">
        <f t="shared" si="10"/>
        <v>Kathleen</v>
      </c>
      <c r="T158">
        <v>157</v>
      </c>
    </row>
    <row r="159" spans="17:20" x14ac:dyDescent="0.35">
      <c r="Q159">
        <f t="shared" si="8"/>
        <v>0</v>
      </c>
      <c r="R159">
        <f t="shared" si="9"/>
        <v>0</v>
      </c>
      <c r="S159" t="str">
        <f t="shared" si="10"/>
        <v>Kathleen</v>
      </c>
      <c r="T159">
        <v>158</v>
      </c>
    </row>
    <row r="160" spans="17:20" x14ac:dyDescent="0.35">
      <c r="Q160">
        <f t="shared" si="8"/>
        <v>0</v>
      </c>
      <c r="R160">
        <f t="shared" si="9"/>
        <v>0</v>
      </c>
      <c r="S160" t="str">
        <f t="shared" si="10"/>
        <v>Kathleen</v>
      </c>
      <c r="T160">
        <v>159</v>
      </c>
    </row>
    <row r="161" spans="17:20" x14ac:dyDescent="0.35">
      <c r="Q161">
        <f t="shared" si="8"/>
        <v>0</v>
      </c>
      <c r="R161">
        <f t="shared" si="9"/>
        <v>0</v>
      </c>
      <c r="S161" t="str">
        <f t="shared" si="10"/>
        <v>Kathleen</v>
      </c>
      <c r="T161">
        <v>160</v>
      </c>
    </row>
    <row r="162" spans="17:20" x14ac:dyDescent="0.35">
      <c r="Q162">
        <f t="shared" si="8"/>
        <v>0</v>
      </c>
      <c r="R162">
        <f t="shared" si="9"/>
        <v>0</v>
      </c>
      <c r="S162" t="str">
        <f t="shared" si="10"/>
        <v>Kathleen</v>
      </c>
      <c r="T162">
        <v>161</v>
      </c>
    </row>
    <row r="163" spans="17:20" x14ac:dyDescent="0.35">
      <c r="Q163">
        <f t="shared" ref="Q163:Q199" si="11">SUM(A163,C163,E163,G163,I163,K163,M163,O163)</f>
        <v>0</v>
      </c>
      <c r="R163">
        <f t="shared" ref="R163:R199" si="12">SUM(B163,D163,F163,H163,J163,L163,N163,P163)</f>
        <v>0</v>
      </c>
      <c r="S163" t="str">
        <f t="shared" si="10"/>
        <v>Kathleen</v>
      </c>
      <c r="T163">
        <v>162</v>
      </c>
    </row>
    <row r="164" spans="17:20" x14ac:dyDescent="0.35">
      <c r="Q164">
        <f t="shared" si="11"/>
        <v>0</v>
      </c>
      <c r="R164">
        <f t="shared" si="12"/>
        <v>0</v>
      </c>
      <c r="S164" t="str">
        <f t="shared" si="10"/>
        <v>Kathleen</v>
      </c>
      <c r="T164">
        <v>163</v>
      </c>
    </row>
    <row r="165" spans="17:20" x14ac:dyDescent="0.35">
      <c r="Q165">
        <f t="shared" si="11"/>
        <v>0</v>
      </c>
      <c r="R165">
        <f t="shared" si="12"/>
        <v>0</v>
      </c>
      <c r="S165" t="str">
        <f t="shared" si="10"/>
        <v>Kathleen</v>
      </c>
      <c r="T165">
        <v>164</v>
      </c>
    </row>
    <row r="166" spans="17:20" x14ac:dyDescent="0.35">
      <c r="Q166">
        <f t="shared" si="11"/>
        <v>0</v>
      </c>
      <c r="R166">
        <f t="shared" si="12"/>
        <v>0</v>
      </c>
      <c r="S166" t="str">
        <f t="shared" si="10"/>
        <v>Kathleen</v>
      </c>
      <c r="T166">
        <v>165</v>
      </c>
    </row>
    <row r="167" spans="17:20" x14ac:dyDescent="0.35">
      <c r="Q167">
        <f t="shared" si="11"/>
        <v>0</v>
      </c>
      <c r="R167">
        <f t="shared" si="12"/>
        <v>0</v>
      </c>
      <c r="S167" t="str">
        <f t="shared" si="10"/>
        <v>Kathleen</v>
      </c>
      <c r="T167">
        <v>166</v>
      </c>
    </row>
    <row r="168" spans="17:20" x14ac:dyDescent="0.35">
      <c r="Q168">
        <f t="shared" si="11"/>
        <v>0</v>
      </c>
      <c r="R168">
        <f t="shared" si="12"/>
        <v>0</v>
      </c>
      <c r="S168" t="str">
        <f t="shared" si="10"/>
        <v>Kathleen</v>
      </c>
      <c r="T168">
        <v>167</v>
      </c>
    </row>
    <row r="169" spans="17:20" x14ac:dyDescent="0.35">
      <c r="Q169">
        <f t="shared" si="11"/>
        <v>0</v>
      </c>
      <c r="R169">
        <f t="shared" si="12"/>
        <v>0</v>
      </c>
      <c r="S169" t="str">
        <f t="shared" si="10"/>
        <v>Kathleen</v>
      </c>
      <c r="T169">
        <v>168</v>
      </c>
    </row>
    <row r="170" spans="17:20" x14ac:dyDescent="0.35">
      <c r="Q170">
        <f t="shared" si="11"/>
        <v>0</v>
      </c>
      <c r="R170">
        <f t="shared" si="12"/>
        <v>0</v>
      </c>
      <c r="S170" t="str">
        <f t="shared" si="10"/>
        <v>Kathleen</v>
      </c>
      <c r="T170">
        <v>169</v>
      </c>
    </row>
    <row r="171" spans="17:20" x14ac:dyDescent="0.35">
      <c r="Q171">
        <f t="shared" si="11"/>
        <v>0</v>
      </c>
      <c r="R171">
        <f t="shared" si="12"/>
        <v>0</v>
      </c>
      <c r="S171" t="str">
        <f t="shared" si="10"/>
        <v>Kathleen</v>
      </c>
      <c r="T171">
        <v>170</v>
      </c>
    </row>
    <row r="172" spans="17:20" x14ac:dyDescent="0.35">
      <c r="Q172">
        <f t="shared" si="11"/>
        <v>0</v>
      </c>
      <c r="R172">
        <f t="shared" si="12"/>
        <v>0</v>
      </c>
      <c r="S172" t="str">
        <f t="shared" si="10"/>
        <v>Kathleen</v>
      </c>
      <c r="T172">
        <v>171</v>
      </c>
    </row>
    <row r="173" spans="17:20" x14ac:dyDescent="0.35">
      <c r="Q173">
        <f t="shared" si="11"/>
        <v>0</v>
      </c>
      <c r="R173">
        <f t="shared" si="12"/>
        <v>0</v>
      </c>
      <c r="S173" t="str">
        <f t="shared" si="10"/>
        <v>Kathleen</v>
      </c>
      <c r="T173">
        <v>172</v>
      </c>
    </row>
    <row r="174" spans="17:20" x14ac:dyDescent="0.35">
      <c r="Q174">
        <f t="shared" si="11"/>
        <v>0</v>
      </c>
      <c r="R174">
        <f t="shared" si="12"/>
        <v>0</v>
      </c>
      <c r="S174" t="str">
        <f t="shared" si="10"/>
        <v>Kathleen</v>
      </c>
      <c r="T174">
        <v>173</v>
      </c>
    </row>
    <row r="175" spans="17:20" x14ac:dyDescent="0.35">
      <c r="Q175">
        <f t="shared" si="11"/>
        <v>0</v>
      </c>
      <c r="R175">
        <f t="shared" si="12"/>
        <v>0</v>
      </c>
      <c r="S175" t="str">
        <f t="shared" si="10"/>
        <v>Kathleen</v>
      </c>
      <c r="T175">
        <v>174</v>
      </c>
    </row>
    <row r="176" spans="17:20" x14ac:dyDescent="0.35">
      <c r="Q176">
        <f t="shared" si="11"/>
        <v>0</v>
      </c>
      <c r="R176">
        <f t="shared" si="12"/>
        <v>0</v>
      </c>
      <c r="S176" t="str">
        <f t="shared" si="10"/>
        <v>Kathleen</v>
      </c>
      <c r="T176">
        <v>175</v>
      </c>
    </row>
    <row r="177" spans="17:20" x14ac:dyDescent="0.35">
      <c r="Q177">
        <f t="shared" si="11"/>
        <v>0</v>
      </c>
      <c r="R177">
        <f t="shared" si="12"/>
        <v>0</v>
      </c>
      <c r="S177" t="str">
        <f t="shared" si="10"/>
        <v>Kathleen</v>
      </c>
      <c r="T177">
        <v>176</v>
      </c>
    </row>
    <row r="178" spans="17:20" x14ac:dyDescent="0.35">
      <c r="Q178">
        <f t="shared" si="11"/>
        <v>0</v>
      </c>
      <c r="R178">
        <f t="shared" si="12"/>
        <v>0</v>
      </c>
      <c r="S178" t="str">
        <f t="shared" si="10"/>
        <v>Kathleen</v>
      </c>
      <c r="T178">
        <v>177</v>
      </c>
    </row>
    <row r="179" spans="17:20" x14ac:dyDescent="0.35">
      <c r="Q179">
        <f t="shared" si="11"/>
        <v>0</v>
      </c>
      <c r="R179">
        <f t="shared" si="12"/>
        <v>0</v>
      </c>
      <c r="S179" t="str">
        <f t="shared" si="10"/>
        <v>Kathleen</v>
      </c>
      <c r="T179">
        <v>178</v>
      </c>
    </row>
    <row r="180" spans="17:20" x14ac:dyDescent="0.35">
      <c r="Q180">
        <f t="shared" si="11"/>
        <v>0</v>
      </c>
      <c r="R180">
        <f t="shared" si="12"/>
        <v>0</v>
      </c>
      <c r="S180" t="str">
        <f t="shared" si="10"/>
        <v>Kathleen</v>
      </c>
      <c r="T180">
        <v>179</v>
      </c>
    </row>
    <row r="181" spans="17:20" x14ac:dyDescent="0.35">
      <c r="Q181">
        <f t="shared" si="11"/>
        <v>0</v>
      </c>
      <c r="R181">
        <f t="shared" si="12"/>
        <v>0</v>
      </c>
      <c r="S181" t="str">
        <f t="shared" si="10"/>
        <v>Kathleen</v>
      </c>
      <c r="T181">
        <v>180</v>
      </c>
    </row>
    <row r="182" spans="17:20" x14ac:dyDescent="0.35">
      <c r="Q182">
        <f t="shared" si="11"/>
        <v>0</v>
      </c>
      <c r="R182">
        <f t="shared" si="12"/>
        <v>0</v>
      </c>
      <c r="S182" t="str">
        <f t="shared" si="10"/>
        <v>Kathleen</v>
      </c>
      <c r="T182">
        <v>181</v>
      </c>
    </row>
    <row r="183" spans="17:20" x14ac:dyDescent="0.35">
      <c r="Q183">
        <f t="shared" si="11"/>
        <v>0</v>
      </c>
      <c r="R183">
        <f t="shared" si="12"/>
        <v>0</v>
      </c>
      <c r="S183" t="str">
        <f t="shared" si="10"/>
        <v>Kathleen</v>
      </c>
      <c r="T183">
        <v>182</v>
      </c>
    </row>
    <row r="184" spans="17:20" x14ac:dyDescent="0.35">
      <c r="Q184">
        <f t="shared" si="11"/>
        <v>0</v>
      </c>
      <c r="R184">
        <f t="shared" si="12"/>
        <v>0</v>
      </c>
      <c r="S184" t="str">
        <f t="shared" si="10"/>
        <v>Kathleen</v>
      </c>
      <c r="T184">
        <v>183</v>
      </c>
    </row>
    <row r="185" spans="17:20" x14ac:dyDescent="0.35">
      <c r="Q185">
        <f t="shared" si="11"/>
        <v>0</v>
      </c>
      <c r="R185">
        <f t="shared" si="12"/>
        <v>0</v>
      </c>
      <c r="S185" t="str">
        <f t="shared" si="10"/>
        <v>Kathleen</v>
      </c>
      <c r="T185">
        <v>184</v>
      </c>
    </row>
    <row r="186" spans="17:20" x14ac:dyDescent="0.35">
      <c r="Q186">
        <f t="shared" si="11"/>
        <v>0</v>
      </c>
      <c r="R186">
        <f t="shared" si="12"/>
        <v>0</v>
      </c>
      <c r="S186" t="str">
        <f t="shared" si="10"/>
        <v>Kathleen</v>
      </c>
      <c r="T186">
        <v>185</v>
      </c>
    </row>
    <row r="187" spans="17:20" x14ac:dyDescent="0.35">
      <c r="Q187">
        <f t="shared" si="11"/>
        <v>0</v>
      </c>
      <c r="R187">
        <f t="shared" si="12"/>
        <v>0</v>
      </c>
      <c r="S187" t="str">
        <f t="shared" si="10"/>
        <v>Kathleen</v>
      </c>
      <c r="T187">
        <v>186</v>
      </c>
    </row>
    <row r="188" spans="17:20" x14ac:dyDescent="0.35">
      <c r="Q188">
        <f t="shared" si="11"/>
        <v>0</v>
      </c>
      <c r="R188">
        <f t="shared" si="12"/>
        <v>0</v>
      </c>
      <c r="S188" t="str">
        <f t="shared" si="10"/>
        <v>Kathleen</v>
      </c>
      <c r="T188">
        <v>187</v>
      </c>
    </row>
    <row r="189" spans="17:20" x14ac:dyDescent="0.35">
      <c r="Q189">
        <f t="shared" si="11"/>
        <v>0</v>
      </c>
      <c r="R189">
        <f t="shared" si="12"/>
        <v>0</v>
      </c>
      <c r="S189" t="str">
        <f t="shared" si="10"/>
        <v>Kathleen</v>
      </c>
      <c r="T189">
        <v>188</v>
      </c>
    </row>
    <row r="190" spans="17:20" x14ac:dyDescent="0.35">
      <c r="Q190">
        <f t="shared" si="11"/>
        <v>0</v>
      </c>
      <c r="R190">
        <f t="shared" si="12"/>
        <v>0</v>
      </c>
      <c r="S190" t="str">
        <f t="shared" si="10"/>
        <v>Kathleen</v>
      </c>
      <c r="T190">
        <v>189</v>
      </c>
    </row>
    <row r="191" spans="17:20" x14ac:dyDescent="0.35">
      <c r="Q191">
        <f t="shared" si="11"/>
        <v>0</v>
      </c>
      <c r="R191">
        <f t="shared" si="12"/>
        <v>0</v>
      </c>
      <c r="S191" t="str">
        <f t="shared" si="10"/>
        <v>Kathleen</v>
      </c>
      <c r="T191">
        <v>190</v>
      </c>
    </row>
    <row r="192" spans="17:20" x14ac:dyDescent="0.35">
      <c r="Q192">
        <f t="shared" si="11"/>
        <v>0</v>
      </c>
      <c r="R192">
        <f t="shared" si="12"/>
        <v>0</v>
      </c>
      <c r="S192" t="str">
        <f t="shared" si="10"/>
        <v>Kathleen</v>
      </c>
      <c r="T192">
        <v>191</v>
      </c>
    </row>
    <row r="193" spans="17:20" x14ac:dyDescent="0.35">
      <c r="Q193">
        <f t="shared" si="11"/>
        <v>0</v>
      </c>
      <c r="R193">
        <f t="shared" si="12"/>
        <v>0</v>
      </c>
      <c r="S193" t="str">
        <f t="shared" si="10"/>
        <v>Kathleen</v>
      </c>
      <c r="T193">
        <v>192</v>
      </c>
    </row>
    <row r="194" spans="17:20" x14ac:dyDescent="0.35">
      <c r="Q194">
        <f t="shared" si="11"/>
        <v>0</v>
      </c>
      <c r="R194">
        <f t="shared" si="12"/>
        <v>0</v>
      </c>
      <c r="S194" t="str">
        <f t="shared" si="10"/>
        <v>Kathleen</v>
      </c>
      <c r="T194">
        <v>193</v>
      </c>
    </row>
    <row r="195" spans="17:20" x14ac:dyDescent="0.35">
      <c r="Q195">
        <f t="shared" si="11"/>
        <v>0</v>
      </c>
      <c r="R195">
        <f t="shared" si="12"/>
        <v>0</v>
      </c>
      <c r="S195" t="str">
        <f t="shared" ref="S195:S199" si="13">IF(Q195&lt;R195, "Emily", "Kathleen")</f>
        <v>Kathleen</v>
      </c>
      <c r="T195">
        <v>194</v>
      </c>
    </row>
    <row r="196" spans="17:20" x14ac:dyDescent="0.35">
      <c r="Q196">
        <f t="shared" si="11"/>
        <v>0</v>
      </c>
      <c r="R196">
        <f t="shared" si="12"/>
        <v>0</v>
      </c>
      <c r="S196" t="str">
        <f t="shared" si="13"/>
        <v>Kathleen</v>
      </c>
      <c r="T196">
        <v>195</v>
      </c>
    </row>
    <row r="197" spans="17:20" x14ac:dyDescent="0.35">
      <c r="Q197">
        <f t="shared" si="11"/>
        <v>0</v>
      </c>
      <c r="R197">
        <f t="shared" si="12"/>
        <v>0</v>
      </c>
      <c r="S197" t="str">
        <f t="shared" si="13"/>
        <v>Kathleen</v>
      </c>
      <c r="T197">
        <v>196</v>
      </c>
    </row>
    <row r="198" spans="17:20" x14ac:dyDescent="0.35">
      <c r="Q198">
        <f t="shared" si="11"/>
        <v>0</v>
      </c>
      <c r="R198">
        <f t="shared" si="12"/>
        <v>0</v>
      </c>
      <c r="S198" t="str">
        <f t="shared" si="13"/>
        <v>Kathleen</v>
      </c>
      <c r="T198">
        <v>197</v>
      </c>
    </row>
    <row r="199" spans="17:20" x14ac:dyDescent="0.35">
      <c r="Q199">
        <f t="shared" si="11"/>
        <v>0</v>
      </c>
      <c r="R199">
        <f t="shared" si="12"/>
        <v>0</v>
      </c>
      <c r="S199" t="str">
        <f t="shared" si="13"/>
        <v>Kathleen</v>
      </c>
      <c r="T199">
        <v>198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4B406B-12B0-4D62-B088-8B7CB6AB775D}">
  <dimension ref="A1:I11"/>
  <sheetViews>
    <sheetView workbookViewId="0">
      <selection activeCell="G19" sqref="G19"/>
    </sheetView>
  </sheetViews>
  <sheetFormatPr defaultRowHeight="14.5" x14ac:dyDescent="0.35"/>
  <sheetData>
    <row r="1" spans="1:9" x14ac:dyDescent="0.35">
      <c r="A1" t="s">
        <v>38</v>
      </c>
      <c r="B1" t="s">
        <v>39</v>
      </c>
      <c r="C1" t="s">
        <v>18</v>
      </c>
      <c r="D1" t="s">
        <v>32</v>
      </c>
      <c r="E1" t="s">
        <v>33</v>
      </c>
      <c r="F1" t="s">
        <v>62</v>
      </c>
      <c r="G1" t="s">
        <v>63</v>
      </c>
      <c r="H1" t="s">
        <v>64</v>
      </c>
      <c r="I1" t="s">
        <v>65</v>
      </c>
    </row>
    <row r="2" spans="1:9" x14ac:dyDescent="0.35">
      <c r="A2">
        <v>1</v>
      </c>
      <c r="B2" t="s">
        <v>16</v>
      </c>
      <c r="C2" t="s">
        <v>16</v>
      </c>
      <c r="D2">
        <v>20</v>
      </c>
      <c r="E2">
        <v>17</v>
      </c>
      <c r="F2">
        <v>4</v>
      </c>
      <c r="G2">
        <v>7</v>
      </c>
      <c r="H2">
        <v>6</v>
      </c>
      <c r="I2">
        <v>6</v>
      </c>
    </row>
    <row r="3" spans="1:9" x14ac:dyDescent="0.35">
      <c r="A3">
        <v>2</v>
      </c>
    </row>
    <row r="4" spans="1:9" x14ac:dyDescent="0.35">
      <c r="A4">
        <v>3</v>
      </c>
    </row>
    <row r="5" spans="1:9" x14ac:dyDescent="0.35">
      <c r="A5">
        <v>4</v>
      </c>
    </row>
    <row r="6" spans="1:9" x14ac:dyDescent="0.35">
      <c r="A6">
        <v>5</v>
      </c>
    </row>
    <row r="7" spans="1:9" x14ac:dyDescent="0.35">
      <c r="A7">
        <v>6</v>
      </c>
    </row>
    <row r="8" spans="1:9" x14ac:dyDescent="0.35">
      <c r="A8">
        <v>7</v>
      </c>
    </row>
    <row r="9" spans="1:9" x14ac:dyDescent="0.35">
      <c r="A9">
        <v>8</v>
      </c>
    </row>
    <row r="10" spans="1:9" x14ac:dyDescent="0.35">
      <c r="A10">
        <v>9</v>
      </c>
    </row>
    <row r="11" spans="1:9" x14ac:dyDescent="0.35">
      <c r="A11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710052-CE6E-4A4C-B369-EDEB33499F7F}">
  <dimension ref="A1:L2"/>
  <sheetViews>
    <sheetView workbookViewId="0">
      <selection activeCell="G2" sqref="G2"/>
    </sheetView>
  </sheetViews>
  <sheetFormatPr defaultRowHeight="14.5" x14ac:dyDescent="0.35"/>
  <sheetData>
    <row r="1" spans="1:12" x14ac:dyDescent="0.35">
      <c r="A1" t="s">
        <v>38</v>
      </c>
      <c r="B1" t="s">
        <v>40</v>
      </c>
      <c r="C1" t="s">
        <v>32</v>
      </c>
      <c r="D1" t="s">
        <v>33</v>
      </c>
      <c r="E1" t="s">
        <v>42</v>
      </c>
      <c r="F1" t="s">
        <v>41</v>
      </c>
      <c r="G1" t="s">
        <v>66</v>
      </c>
      <c r="H1" t="s">
        <v>67</v>
      </c>
      <c r="I1" t="s">
        <v>43</v>
      </c>
      <c r="J1" t="s">
        <v>44</v>
      </c>
      <c r="K1" t="s">
        <v>18</v>
      </c>
      <c r="L1" t="s">
        <v>25</v>
      </c>
    </row>
    <row r="2" spans="1:12" x14ac:dyDescent="0.35">
      <c r="A2">
        <v>1</v>
      </c>
      <c r="B2" t="s">
        <v>16</v>
      </c>
      <c r="C2">
        <v>61</v>
      </c>
      <c r="D2">
        <v>30</v>
      </c>
      <c r="E2">
        <v>2</v>
      </c>
      <c r="F2">
        <v>7</v>
      </c>
      <c r="G2">
        <v>0</v>
      </c>
      <c r="H2">
        <v>3</v>
      </c>
      <c r="I2">
        <f>C2+E2+G2</f>
        <v>63</v>
      </c>
      <c r="J2">
        <f>D2+F2+H2</f>
        <v>40</v>
      </c>
      <c r="K2" t="str">
        <f>IF(C2&gt;D2, "Kathleen", "Emily")</f>
        <v>Kathleen</v>
      </c>
      <c r="L2">
        <f>I2-J2</f>
        <v>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046197-FE7C-433D-B236-ED19AC297357}">
  <dimension ref="A1:N145"/>
  <sheetViews>
    <sheetView zoomScale="71" workbookViewId="0">
      <selection activeCell="B39" sqref="B39"/>
    </sheetView>
  </sheetViews>
  <sheetFormatPr defaultRowHeight="14.5" x14ac:dyDescent="0.35"/>
  <sheetData>
    <row r="1" spans="1:14" x14ac:dyDescent="0.35">
      <c r="A1" t="s">
        <v>38</v>
      </c>
      <c r="B1" t="s">
        <v>40</v>
      </c>
      <c r="C1" t="s">
        <v>32</v>
      </c>
      <c r="D1" t="s">
        <v>33</v>
      </c>
      <c r="E1" t="s">
        <v>42</v>
      </c>
      <c r="F1" t="s">
        <v>41</v>
      </c>
      <c r="G1" t="s">
        <v>45</v>
      </c>
      <c r="H1" t="s">
        <v>46</v>
      </c>
      <c r="I1" t="s">
        <v>49</v>
      </c>
      <c r="J1" t="s">
        <v>48</v>
      </c>
      <c r="K1" t="s">
        <v>43</v>
      </c>
      <c r="L1" t="s">
        <v>44</v>
      </c>
      <c r="M1" t="s">
        <v>18</v>
      </c>
      <c r="N1" t="s">
        <v>25</v>
      </c>
    </row>
    <row r="2" spans="1:14" x14ac:dyDescent="0.35">
      <c r="A2">
        <v>1</v>
      </c>
      <c r="B2" t="s">
        <v>16</v>
      </c>
      <c r="C2">
        <v>75</v>
      </c>
      <c r="D2">
        <v>54</v>
      </c>
      <c r="M2" t="str">
        <f>IF(C2&gt;D2, "Kathleen", "Emily")</f>
        <v>Kathleen</v>
      </c>
      <c r="N2">
        <f>ABS(C2-D2)</f>
        <v>21</v>
      </c>
    </row>
    <row r="3" spans="1:14" x14ac:dyDescent="0.35">
      <c r="A3">
        <v>2</v>
      </c>
      <c r="B3" t="s">
        <v>17</v>
      </c>
      <c r="C3">
        <v>38</v>
      </c>
      <c r="D3">
        <v>56</v>
      </c>
      <c r="M3" t="str">
        <f t="shared" ref="M3:M7" si="0">IF(C3&gt;D3, "Kathleen", "Emily")</f>
        <v>Emily</v>
      </c>
      <c r="N3">
        <f t="shared" ref="N3:N7" si="1">ABS(C3-D3)</f>
        <v>18</v>
      </c>
    </row>
    <row r="4" spans="1:14" x14ac:dyDescent="0.35">
      <c r="A4">
        <v>3</v>
      </c>
      <c r="B4" t="s">
        <v>16</v>
      </c>
      <c r="C4">
        <v>59</v>
      </c>
      <c r="D4">
        <v>55</v>
      </c>
      <c r="M4" t="str">
        <f t="shared" si="0"/>
        <v>Kathleen</v>
      </c>
      <c r="N4">
        <f t="shared" si="1"/>
        <v>4</v>
      </c>
    </row>
    <row r="5" spans="1:14" x14ac:dyDescent="0.35">
      <c r="A5">
        <v>4</v>
      </c>
      <c r="B5" t="s">
        <v>17</v>
      </c>
      <c r="C5">
        <v>99</v>
      </c>
      <c r="D5">
        <v>27</v>
      </c>
      <c r="M5" t="str">
        <f t="shared" si="0"/>
        <v>Kathleen</v>
      </c>
      <c r="N5">
        <f t="shared" si="1"/>
        <v>72</v>
      </c>
    </row>
    <row r="6" spans="1:14" x14ac:dyDescent="0.35">
      <c r="A6">
        <v>5</v>
      </c>
      <c r="B6" t="s">
        <v>16</v>
      </c>
      <c r="C6">
        <v>91</v>
      </c>
      <c r="D6">
        <v>67</v>
      </c>
      <c r="M6" t="str">
        <f t="shared" si="0"/>
        <v>Kathleen</v>
      </c>
      <c r="N6">
        <f t="shared" si="1"/>
        <v>24</v>
      </c>
    </row>
    <row r="7" spans="1:14" x14ac:dyDescent="0.35">
      <c r="A7">
        <v>6</v>
      </c>
      <c r="B7" t="s">
        <v>17</v>
      </c>
      <c r="C7">
        <v>60</v>
      </c>
      <c r="D7">
        <v>73</v>
      </c>
      <c r="M7" t="str">
        <f t="shared" si="0"/>
        <v>Emily</v>
      </c>
      <c r="N7">
        <f t="shared" si="1"/>
        <v>13</v>
      </c>
    </row>
    <row r="8" spans="1:14" x14ac:dyDescent="0.35">
      <c r="A8">
        <v>7</v>
      </c>
      <c r="B8" t="s">
        <v>16</v>
      </c>
      <c r="C8">
        <v>91</v>
      </c>
      <c r="D8">
        <v>94</v>
      </c>
      <c r="E8">
        <v>19</v>
      </c>
      <c r="F8">
        <v>26</v>
      </c>
      <c r="K8">
        <f>C8+E8</f>
        <v>110</v>
      </c>
      <c r="L8">
        <f>SUM(D8+F8)</f>
        <v>120</v>
      </c>
      <c r="M8" t="str">
        <f>IF(K8&gt;L8, "Kathleen", "Emily")</f>
        <v>Emily</v>
      </c>
      <c r="N8">
        <f>K8-L8</f>
        <v>-10</v>
      </c>
    </row>
    <row r="9" spans="1:14" x14ac:dyDescent="0.35">
      <c r="A9">
        <v>8</v>
      </c>
      <c r="B9" t="s">
        <v>16</v>
      </c>
      <c r="C9">
        <v>113</v>
      </c>
      <c r="D9">
        <v>110</v>
      </c>
      <c r="E9">
        <v>14</v>
      </c>
      <c r="F9">
        <v>11</v>
      </c>
      <c r="K9">
        <f t="shared" ref="K9:K10" si="2">C9+E9</f>
        <v>127</v>
      </c>
      <c r="L9">
        <f t="shared" ref="L9:L10" si="3">SUM(D9+F9)</f>
        <v>121</v>
      </c>
      <c r="M9" t="str">
        <f t="shared" ref="M9:M11" si="4">IF(K9&gt;L9, "Kathleen", "Emily")</f>
        <v>Kathleen</v>
      </c>
      <c r="N9">
        <f t="shared" ref="N9:N39" si="5">K9-L9</f>
        <v>6</v>
      </c>
    </row>
    <row r="10" spans="1:14" x14ac:dyDescent="0.35">
      <c r="A10">
        <v>9</v>
      </c>
      <c r="B10" t="s">
        <v>17</v>
      </c>
      <c r="C10">
        <v>62</v>
      </c>
      <c r="D10">
        <v>20</v>
      </c>
      <c r="E10">
        <v>41</v>
      </c>
      <c r="F10">
        <v>56</v>
      </c>
      <c r="K10">
        <f t="shared" si="2"/>
        <v>103</v>
      </c>
      <c r="L10">
        <f t="shared" si="3"/>
        <v>76</v>
      </c>
      <c r="M10" t="str">
        <f t="shared" si="4"/>
        <v>Kathleen</v>
      </c>
      <c r="N10">
        <f t="shared" si="5"/>
        <v>27</v>
      </c>
    </row>
    <row r="11" spans="1:14" x14ac:dyDescent="0.35">
      <c r="A11">
        <v>10</v>
      </c>
      <c r="B11" t="s">
        <v>16</v>
      </c>
      <c r="C11">
        <v>54</v>
      </c>
      <c r="D11">
        <v>61</v>
      </c>
      <c r="E11">
        <v>42</v>
      </c>
      <c r="F11">
        <v>43</v>
      </c>
      <c r="G11">
        <v>27</v>
      </c>
      <c r="H11">
        <v>30</v>
      </c>
      <c r="K11">
        <f>C11+E11+G11</f>
        <v>123</v>
      </c>
      <c r="L11">
        <f>SUM(D11+F11+H11)</f>
        <v>134</v>
      </c>
      <c r="M11" t="str">
        <f t="shared" si="4"/>
        <v>Emily</v>
      </c>
      <c r="N11">
        <f t="shared" si="5"/>
        <v>-11</v>
      </c>
    </row>
    <row r="12" spans="1:14" x14ac:dyDescent="0.35">
      <c r="A12">
        <v>11</v>
      </c>
      <c r="B12" t="s">
        <v>16</v>
      </c>
      <c r="C12">
        <v>51</v>
      </c>
      <c r="D12">
        <v>70</v>
      </c>
      <c r="E12">
        <v>9</v>
      </c>
      <c r="F12">
        <v>8</v>
      </c>
      <c r="G12">
        <v>36</v>
      </c>
      <c r="H12">
        <v>33</v>
      </c>
      <c r="K12">
        <f t="shared" ref="K12:K23" si="6">C12+E12+G12</f>
        <v>96</v>
      </c>
      <c r="L12">
        <f t="shared" ref="L12:L23" si="7">SUM(D12+F12+H12)</f>
        <v>111</v>
      </c>
      <c r="M12" t="str">
        <f t="shared" ref="M12:M39" si="8">IF(K12&gt;L12, "Kathleen", "Emily")</f>
        <v>Emily</v>
      </c>
      <c r="N12">
        <f t="shared" si="5"/>
        <v>-15</v>
      </c>
    </row>
    <row r="13" spans="1:14" x14ac:dyDescent="0.35">
      <c r="A13">
        <v>12</v>
      </c>
      <c r="B13" t="s">
        <v>16</v>
      </c>
      <c r="C13">
        <v>94</v>
      </c>
      <c r="D13">
        <v>65</v>
      </c>
      <c r="E13">
        <v>17</v>
      </c>
      <c r="F13">
        <v>10</v>
      </c>
      <c r="G13">
        <v>18</v>
      </c>
      <c r="H13">
        <v>12</v>
      </c>
      <c r="K13">
        <f t="shared" si="6"/>
        <v>129</v>
      </c>
      <c r="L13">
        <f t="shared" si="7"/>
        <v>87</v>
      </c>
      <c r="M13" t="str">
        <f t="shared" si="8"/>
        <v>Kathleen</v>
      </c>
      <c r="N13">
        <f t="shared" si="5"/>
        <v>42</v>
      </c>
    </row>
    <row r="14" spans="1:14" x14ac:dyDescent="0.35">
      <c r="A14">
        <v>13</v>
      </c>
      <c r="B14" t="s">
        <v>17</v>
      </c>
      <c r="C14">
        <v>74</v>
      </c>
      <c r="D14">
        <v>115</v>
      </c>
      <c r="E14">
        <v>21</v>
      </c>
      <c r="F14">
        <v>26</v>
      </c>
      <c r="G14">
        <v>21</v>
      </c>
      <c r="H14">
        <v>18</v>
      </c>
      <c r="K14">
        <f t="shared" si="6"/>
        <v>116</v>
      </c>
      <c r="L14">
        <f t="shared" si="7"/>
        <v>159</v>
      </c>
      <c r="M14" t="str">
        <f t="shared" si="8"/>
        <v>Emily</v>
      </c>
      <c r="N14">
        <f t="shared" si="5"/>
        <v>-43</v>
      </c>
    </row>
    <row r="15" spans="1:14" x14ac:dyDescent="0.35">
      <c r="A15">
        <v>14</v>
      </c>
      <c r="B15" t="s">
        <v>16</v>
      </c>
      <c r="C15">
        <v>73</v>
      </c>
      <c r="D15">
        <v>86</v>
      </c>
      <c r="E15">
        <v>17</v>
      </c>
      <c r="F15">
        <v>24</v>
      </c>
      <c r="G15">
        <v>33</v>
      </c>
      <c r="H15">
        <v>24</v>
      </c>
      <c r="K15">
        <f t="shared" si="6"/>
        <v>123</v>
      </c>
      <c r="L15">
        <f t="shared" si="7"/>
        <v>134</v>
      </c>
      <c r="M15" t="str">
        <f t="shared" si="8"/>
        <v>Emily</v>
      </c>
      <c r="N15">
        <f t="shared" si="5"/>
        <v>-11</v>
      </c>
    </row>
    <row r="16" spans="1:14" x14ac:dyDescent="0.35">
      <c r="A16">
        <v>15</v>
      </c>
      <c r="B16" t="s">
        <v>17</v>
      </c>
      <c r="C16">
        <v>73</v>
      </c>
      <c r="D16">
        <v>87</v>
      </c>
      <c r="E16">
        <v>25</v>
      </c>
      <c r="F16">
        <v>22</v>
      </c>
      <c r="G16">
        <v>6</v>
      </c>
      <c r="H16">
        <v>9</v>
      </c>
      <c r="K16">
        <f t="shared" si="6"/>
        <v>104</v>
      </c>
      <c r="L16">
        <f t="shared" si="7"/>
        <v>118</v>
      </c>
      <c r="M16" t="str">
        <f t="shared" si="8"/>
        <v>Emily</v>
      </c>
      <c r="N16">
        <f t="shared" si="5"/>
        <v>-14</v>
      </c>
    </row>
    <row r="17" spans="1:14" x14ac:dyDescent="0.35">
      <c r="A17">
        <v>16</v>
      </c>
      <c r="B17" t="s">
        <v>16</v>
      </c>
      <c r="C17">
        <v>84</v>
      </c>
      <c r="D17">
        <v>86</v>
      </c>
      <c r="E17">
        <v>28</v>
      </c>
      <c r="F17">
        <v>8</v>
      </c>
      <c r="G17">
        <v>12</v>
      </c>
      <c r="H17">
        <f>9+24</f>
        <v>33</v>
      </c>
      <c r="K17">
        <f t="shared" si="6"/>
        <v>124</v>
      </c>
      <c r="L17">
        <f t="shared" si="7"/>
        <v>127</v>
      </c>
      <c r="M17" t="str">
        <f t="shared" si="8"/>
        <v>Emily</v>
      </c>
      <c r="N17">
        <f t="shared" si="5"/>
        <v>-3</v>
      </c>
    </row>
    <row r="18" spans="1:14" x14ac:dyDescent="0.35">
      <c r="A18">
        <v>17</v>
      </c>
      <c r="B18" t="s">
        <v>16</v>
      </c>
      <c r="C18">
        <v>60</v>
      </c>
      <c r="D18">
        <v>114</v>
      </c>
      <c r="E18">
        <v>32</v>
      </c>
      <c r="F18">
        <v>8</v>
      </c>
      <c r="G18">
        <v>3</v>
      </c>
      <c r="H18">
        <v>24</v>
      </c>
      <c r="K18">
        <f t="shared" si="6"/>
        <v>95</v>
      </c>
      <c r="L18">
        <f t="shared" si="7"/>
        <v>146</v>
      </c>
      <c r="M18" t="str">
        <f t="shared" si="8"/>
        <v>Emily</v>
      </c>
      <c r="N18">
        <f t="shared" si="5"/>
        <v>-51</v>
      </c>
    </row>
    <row r="19" spans="1:14" x14ac:dyDescent="0.35">
      <c r="A19">
        <v>18</v>
      </c>
      <c r="B19" t="s">
        <v>16</v>
      </c>
      <c r="C19">
        <v>105</v>
      </c>
      <c r="D19">
        <v>97</v>
      </c>
      <c r="E19">
        <v>19</v>
      </c>
      <c r="F19">
        <v>19</v>
      </c>
      <c r="G19">
        <v>12</v>
      </c>
      <c r="H19">
        <v>18</v>
      </c>
      <c r="K19">
        <f t="shared" si="6"/>
        <v>136</v>
      </c>
      <c r="L19">
        <f t="shared" si="7"/>
        <v>134</v>
      </c>
      <c r="M19" t="str">
        <f t="shared" si="8"/>
        <v>Kathleen</v>
      </c>
      <c r="N19">
        <f t="shared" si="5"/>
        <v>2</v>
      </c>
    </row>
    <row r="20" spans="1:14" x14ac:dyDescent="0.35">
      <c r="A20">
        <v>19</v>
      </c>
      <c r="B20" t="s">
        <v>17</v>
      </c>
      <c r="C20">
        <v>95</v>
      </c>
      <c r="D20">
        <v>115</v>
      </c>
      <c r="E20">
        <v>14</v>
      </c>
      <c r="F20">
        <v>5</v>
      </c>
      <c r="G20">
        <v>15</v>
      </c>
      <c r="H20">
        <v>24</v>
      </c>
      <c r="K20">
        <f t="shared" si="6"/>
        <v>124</v>
      </c>
      <c r="L20">
        <f t="shared" si="7"/>
        <v>144</v>
      </c>
      <c r="M20" t="str">
        <f t="shared" si="8"/>
        <v>Emily</v>
      </c>
      <c r="N20">
        <f t="shared" si="5"/>
        <v>-20</v>
      </c>
    </row>
    <row r="21" spans="1:14" x14ac:dyDescent="0.35">
      <c r="A21">
        <v>20</v>
      </c>
      <c r="B21" t="s">
        <v>16</v>
      </c>
      <c r="C21">
        <v>80</v>
      </c>
      <c r="D21">
        <v>93</v>
      </c>
      <c r="E21">
        <v>3</v>
      </c>
      <c r="F21">
        <v>23</v>
      </c>
      <c r="G21">
        <v>12</v>
      </c>
      <c r="H21">
        <v>9</v>
      </c>
      <c r="K21">
        <f t="shared" si="6"/>
        <v>95</v>
      </c>
      <c r="L21">
        <f t="shared" si="7"/>
        <v>125</v>
      </c>
      <c r="M21" t="str">
        <f t="shared" si="8"/>
        <v>Emily</v>
      </c>
      <c r="N21">
        <f t="shared" si="5"/>
        <v>-30</v>
      </c>
    </row>
    <row r="22" spans="1:14" x14ac:dyDescent="0.35">
      <c r="A22">
        <v>21</v>
      </c>
      <c r="B22" t="s">
        <v>16</v>
      </c>
      <c r="C22">
        <v>66</v>
      </c>
      <c r="D22">
        <v>75</v>
      </c>
      <c r="E22">
        <v>23</v>
      </c>
      <c r="F22">
        <v>30</v>
      </c>
      <c r="G22">
        <v>21</v>
      </c>
      <c r="H22">
        <v>18</v>
      </c>
      <c r="K22">
        <f t="shared" si="6"/>
        <v>110</v>
      </c>
      <c r="L22">
        <f t="shared" si="7"/>
        <v>123</v>
      </c>
      <c r="M22" t="str">
        <f t="shared" si="8"/>
        <v>Emily</v>
      </c>
      <c r="N22">
        <f t="shared" si="5"/>
        <v>-13</v>
      </c>
    </row>
    <row r="23" spans="1:14" x14ac:dyDescent="0.35">
      <c r="A23">
        <v>22</v>
      </c>
      <c r="B23" t="s">
        <v>17</v>
      </c>
      <c r="C23">
        <v>127</v>
      </c>
      <c r="D23">
        <v>67</v>
      </c>
      <c r="E23">
        <v>6</v>
      </c>
      <c r="F23">
        <v>28</v>
      </c>
      <c r="G23">
        <v>21</v>
      </c>
      <c r="H23">
        <v>12</v>
      </c>
      <c r="K23">
        <f t="shared" si="6"/>
        <v>154</v>
      </c>
      <c r="L23">
        <f t="shared" si="7"/>
        <v>107</v>
      </c>
      <c r="M23" t="str">
        <f t="shared" si="8"/>
        <v>Kathleen</v>
      </c>
      <c r="N23">
        <f t="shared" si="5"/>
        <v>47</v>
      </c>
    </row>
    <row r="24" spans="1:14" x14ac:dyDescent="0.35">
      <c r="A24">
        <v>23</v>
      </c>
      <c r="B24" t="s">
        <v>16</v>
      </c>
      <c r="C24">
        <v>131</v>
      </c>
      <c r="D24">
        <v>134</v>
      </c>
      <c r="E24">
        <v>12</v>
      </c>
      <c r="F24">
        <v>4</v>
      </c>
      <c r="G24">
        <f>18+16</f>
        <v>34</v>
      </c>
      <c r="H24">
        <v>43</v>
      </c>
      <c r="I24">
        <v>10</v>
      </c>
      <c r="J24">
        <v>20</v>
      </c>
      <c r="K24">
        <f>C24+E24+G24+I24</f>
        <v>187</v>
      </c>
      <c r="L24">
        <f>SUM(D24+F24+H24+J24)</f>
        <v>201</v>
      </c>
      <c r="M24" t="str">
        <f t="shared" si="8"/>
        <v>Emily</v>
      </c>
      <c r="N24">
        <f t="shared" si="5"/>
        <v>-14</v>
      </c>
    </row>
    <row r="25" spans="1:14" x14ac:dyDescent="0.35">
      <c r="A25">
        <v>24</v>
      </c>
      <c r="B25" t="s">
        <v>17</v>
      </c>
      <c r="C25">
        <v>171</v>
      </c>
      <c r="D25">
        <v>201</v>
      </c>
      <c r="E25">
        <v>12</v>
      </c>
      <c r="F25">
        <v>6</v>
      </c>
      <c r="G25">
        <v>45</v>
      </c>
      <c r="H25">
        <v>42</v>
      </c>
      <c r="I25">
        <v>30</v>
      </c>
      <c r="J25">
        <v>0</v>
      </c>
      <c r="K25">
        <f>C25+E25+G25+I25</f>
        <v>258</v>
      </c>
      <c r="L25">
        <f t="shared" ref="L25:L39" si="9">SUM(D25+F25+H25+J25)</f>
        <v>249</v>
      </c>
      <c r="M25" t="str">
        <f t="shared" si="8"/>
        <v>Kathleen</v>
      </c>
      <c r="N25">
        <f t="shared" si="5"/>
        <v>9</v>
      </c>
    </row>
    <row r="26" spans="1:14" x14ac:dyDescent="0.35">
      <c r="A26">
        <v>25</v>
      </c>
      <c r="B26" t="s">
        <v>17</v>
      </c>
      <c r="C26">
        <v>105</v>
      </c>
      <c r="D26">
        <v>112</v>
      </c>
      <c r="E26">
        <v>24</v>
      </c>
      <c r="F26">
        <v>16</v>
      </c>
      <c r="G26">
        <v>40</v>
      </c>
      <c r="H26">
        <v>36</v>
      </c>
      <c r="I26">
        <v>20</v>
      </c>
      <c r="J26">
        <v>0</v>
      </c>
      <c r="K26">
        <f t="shared" ref="K26:K40" si="10">C26+E26+G26+I26</f>
        <v>189</v>
      </c>
      <c r="L26">
        <f t="shared" si="9"/>
        <v>164</v>
      </c>
      <c r="M26" t="str">
        <f t="shared" si="8"/>
        <v>Kathleen</v>
      </c>
      <c r="N26">
        <f t="shared" si="5"/>
        <v>25</v>
      </c>
    </row>
    <row r="27" spans="1:14" x14ac:dyDescent="0.35">
      <c r="A27">
        <v>26</v>
      </c>
      <c r="B27" t="s">
        <v>16</v>
      </c>
      <c r="C27">
        <v>121</v>
      </c>
      <c r="D27">
        <v>93</v>
      </c>
      <c r="E27">
        <v>24</v>
      </c>
      <c r="F27">
        <v>19</v>
      </c>
      <c r="G27">
        <v>15</v>
      </c>
      <c r="H27">
        <v>45</v>
      </c>
      <c r="I27">
        <v>10</v>
      </c>
      <c r="J27">
        <v>20</v>
      </c>
      <c r="K27">
        <f t="shared" si="10"/>
        <v>170</v>
      </c>
      <c r="L27">
        <f t="shared" si="9"/>
        <v>177</v>
      </c>
      <c r="M27" t="str">
        <f t="shared" si="8"/>
        <v>Emily</v>
      </c>
      <c r="N27">
        <f t="shared" si="5"/>
        <v>-7</v>
      </c>
    </row>
    <row r="28" spans="1:14" x14ac:dyDescent="0.35">
      <c r="A28">
        <v>27</v>
      </c>
      <c r="B28" t="s">
        <v>16</v>
      </c>
      <c r="C28">
        <v>151</v>
      </c>
      <c r="D28">
        <v>73</v>
      </c>
      <c r="E28">
        <v>15</v>
      </c>
      <c r="F28">
        <v>20</v>
      </c>
      <c r="G28">
        <v>24</v>
      </c>
      <c r="H28">
        <v>32</v>
      </c>
      <c r="I28">
        <v>20</v>
      </c>
      <c r="J28">
        <v>0</v>
      </c>
      <c r="K28">
        <f t="shared" si="10"/>
        <v>210</v>
      </c>
      <c r="L28">
        <f t="shared" si="9"/>
        <v>125</v>
      </c>
      <c r="M28" t="str">
        <f t="shared" si="8"/>
        <v>Kathleen</v>
      </c>
      <c r="N28">
        <f t="shared" si="5"/>
        <v>85</v>
      </c>
    </row>
    <row r="29" spans="1:14" x14ac:dyDescent="0.35">
      <c r="A29">
        <v>28</v>
      </c>
      <c r="B29" t="s">
        <v>17</v>
      </c>
      <c r="C29">
        <v>140</v>
      </c>
      <c r="D29">
        <v>100</v>
      </c>
      <c r="E29">
        <v>21</v>
      </c>
      <c r="F29">
        <v>10</v>
      </c>
      <c r="G29">
        <v>24</v>
      </c>
      <c r="H29">
        <v>15</v>
      </c>
      <c r="I29">
        <v>0</v>
      </c>
      <c r="J29">
        <v>30</v>
      </c>
      <c r="K29">
        <f t="shared" si="10"/>
        <v>185</v>
      </c>
      <c r="L29">
        <f t="shared" si="9"/>
        <v>155</v>
      </c>
      <c r="M29" t="str">
        <f t="shared" si="8"/>
        <v>Kathleen</v>
      </c>
      <c r="N29">
        <f t="shared" si="5"/>
        <v>30</v>
      </c>
    </row>
    <row r="30" spans="1:14" x14ac:dyDescent="0.35">
      <c r="A30">
        <v>29</v>
      </c>
      <c r="B30" t="s">
        <v>16</v>
      </c>
      <c r="C30">
        <v>102</v>
      </c>
      <c r="D30">
        <v>78</v>
      </c>
      <c r="E30">
        <v>36</v>
      </c>
      <c r="F30">
        <v>32</v>
      </c>
      <c r="G30">
        <v>18</v>
      </c>
      <c r="H30">
        <v>36</v>
      </c>
      <c r="I30">
        <v>20</v>
      </c>
      <c r="J30">
        <v>10</v>
      </c>
      <c r="K30">
        <f t="shared" si="10"/>
        <v>176</v>
      </c>
      <c r="L30">
        <f t="shared" si="9"/>
        <v>156</v>
      </c>
      <c r="M30" t="str">
        <f t="shared" si="8"/>
        <v>Kathleen</v>
      </c>
      <c r="N30">
        <f t="shared" si="5"/>
        <v>20</v>
      </c>
    </row>
    <row r="31" spans="1:14" x14ac:dyDescent="0.35">
      <c r="A31">
        <v>30</v>
      </c>
      <c r="B31" t="s">
        <v>17</v>
      </c>
      <c r="C31">
        <v>113</v>
      </c>
      <c r="D31">
        <v>136</v>
      </c>
      <c r="E31">
        <v>27</v>
      </c>
      <c r="F31">
        <v>0</v>
      </c>
      <c r="G31">
        <v>14</v>
      </c>
      <c r="H31">
        <v>21</v>
      </c>
      <c r="I31">
        <v>0</v>
      </c>
      <c r="J31">
        <v>30</v>
      </c>
      <c r="K31">
        <f t="shared" si="10"/>
        <v>154</v>
      </c>
      <c r="L31">
        <f t="shared" si="9"/>
        <v>187</v>
      </c>
      <c r="M31" t="str">
        <f t="shared" si="8"/>
        <v>Emily</v>
      </c>
      <c r="N31">
        <f t="shared" si="5"/>
        <v>-33</v>
      </c>
    </row>
    <row r="32" spans="1:14" x14ac:dyDescent="0.35">
      <c r="A32">
        <v>31</v>
      </c>
      <c r="B32" t="s">
        <v>16</v>
      </c>
      <c r="C32">
        <v>105</v>
      </c>
      <c r="D32">
        <v>134</v>
      </c>
      <c r="E32">
        <v>11</v>
      </c>
      <c r="F32">
        <v>15</v>
      </c>
      <c r="G32">
        <v>38</v>
      </c>
      <c r="H32">
        <v>34</v>
      </c>
      <c r="I32">
        <v>10</v>
      </c>
      <c r="J32">
        <v>20</v>
      </c>
      <c r="K32">
        <f t="shared" si="10"/>
        <v>164</v>
      </c>
      <c r="L32">
        <f t="shared" si="9"/>
        <v>203</v>
      </c>
      <c r="M32" t="str">
        <f t="shared" si="8"/>
        <v>Emily</v>
      </c>
      <c r="N32">
        <f t="shared" si="5"/>
        <v>-39</v>
      </c>
    </row>
    <row r="33" spans="1:14" x14ac:dyDescent="0.35">
      <c r="A33">
        <v>32</v>
      </c>
      <c r="B33" t="s">
        <v>16</v>
      </c>
      <c r="C33">
        <v>108</v>
      </c>
      <c r="D33">
        <v>121</v>
      </c>
      <c r="E33">
        <v>23</v>
      </c>
      <c r="F33">
        <v>16</v>
      </c>
      <c r="G33">
        <v>18</v>
      </c>
      <c r="H33">
        <v>47</v>
      </c>
      <c r="I33">
        <v>20</v>
      </c>
      <c r="J33">
        <v>10</v>
      </c>
      <c r="K33">
        <f t="shared" si="10"/>
        <v>169</v>
      </c>
      <c r="L33">
        <f t="shared" si="9"/>
        <v>194</v>
      </c>
      <c r="M33" t="str">
        <f t="shared" si="8"/>
        <v>Emily</v>
      </c>
      <c r="N33">
        <f t="shared" si="5"/>
        <v>-25</v>
      </c>
    </row>
    <row r="34" spans="1:14" x14ac:dyDescent="0.35">
      <c r="A34">
        <v>33</v>
      </c>
      <c r="B34" t="s">
        <v>16</v>
      </c>
      <c r="C34">
        <v>132</v>
      </c>
      <c r="D34">
        <v>124</v>
      </c>
      <c r="E34">
        <v>16</v>
      </c>
      <c r="F34">
        <v>6</v>
      </c>
      <c r="G34">
        <v>18</v>
      </c>
      <c r="H34">
        <v>20</v>
      </c>
      <c r="I34">
        <v>0</v>
      </c>
      <c r="J34">
        <v>30</v>
      </c>
      <c r="K34">
        <f t="shared" si="10"/>
        <v>166</v>
      </c>
      <c r="L34">
        <f t="shared" si="9"/>
        <v>180</v>
      </c>
      <c r="M34" t="str">
        <f t="shared" si="8"/>
        <v>Emily</v>
      </c>
      <c r="N34">
        <f t="shared" si="5"/>
        <v>-14</v>
      </c>
    </row>
    <row r="35" spans="1:14" x14ac:dyDescent="0.35">
      <c r="A35">
        <v>34</v>
      </c>
      <c r="B35" t="s">
        <v>16</v>
      </c>
      <c r="C35">
        <v>85</v>
      </c>
      <c r="D35">
        <v>89</v>
      </c>
      <c r="E35">
        <v>26</v>
      </c>
      <c r="F35">
        <v>21</v>
      </c>
      <c r="G35">
        <v>15</v>
      </c>
      <c r="H35">
        <v>16</v>
      </c>
      <c r="I35">
        <v>20</v>
      </c>
      <c r="J35">
        <v>0</v>
      </c>
      <c r="K35">
        <f>C35+E35+G35+I35</f>
        <v>146</v>
      </c>
      <c r="L35">
        <f t="shared" si="9"/>
        <v>126</v>
      </c>
      <c r="M35" t="str">
        <f t="shared" si="8"/>
        <v>Kathleen</v>
      </c>
      <c r="N35">
        <f>K35-L35</f>
        <v>20</v>
      </c>
    </row>
    <row r="36" spans="1:14" x14ac:dyDescent="0.35">
      <c r="A36">
        <v>35</v>
      </c>
      <c r="B36" t="s">
        <v>16</v>
      </c>
      <c r="C36">
        <v>117</v>
      </c>
      <c r="D36">
        <v>124</v>
      </c>
      <c r="E36">
        <v>13</v>
      </c>
      <c r="F36">
        <v>21</v>
      </c>
      <c r="G36">
        <v>0</v>
      </c>
      <c r="H36">
        <v>3</v>
      </c>
      <c r="I36">
        <v>20</v>
      </c>
      <c r="J36">
        <v>0</v>
      </c>
      <c r="K36">
        <f t="shared" si="10"/>
        <v>150</v>
      </c>
      <c r="L36">
        <f t="shared" si="9"/>
        <v>148</v>
      </c>
      <c r="M36" t="str">
        <f t="shared" si="8"/>
        <v>Kathleen</v>
      </c>
      <c r="N36">
        <f t="shared" si="5"/>
        <v>2</v>
      </c>
    </row>
    <row r="37" spans="1:14" x14ac:dyDescent="0.35">
      <c r="A37">
        <v>36</v>
      </c>
      <c r="B37" t="s">
        <v>17</v>
      </c>
      <c r="C37">
        <v>126</v>
      </c>
      <c r="D37">
        <v>90</v>
      </c>
      <c r="E37">
        <v>6</v>
      </c>
      <c r="F37">
        <v>34</v>
      </c>
      <c r="G37">
        <v>24</v>
      </c>
      <c r="H37">
        <v>14</v>
      </c>
      <c r="I37">
        <v>20</v>
      </c>
      <c r="J37">
        <v>10</v>
      </c>
      <c r="K37">
        <f t="shared" si="10"/>
        <v>176</v>
      </c>
      <c r="L37">
        <f t="shared" si="9"/>
        <v>148</v>
      </c>
      <c r="M37" t="str">
        <f t="shared" si="8"/>
        <v>Kathleen</v>
      </c>
      <c r="N37">
        <f t="shared" si="5"/>
        <v>28</v>
      </c>
    </row>
    <row r="38" spans="1:14" x14ac:dyDescent="0.35">
      <c r="A38">
        <v>37</v>
      </c>
      <c r="B38" t="s">
        <v>16</v>
      </c>
      <c r="C38">
        <v>134</v>
      </c>
      <c r="D38">
        <v>83</v>
      </c>
      <c r="E38">
        <v>29</v>
      </c>
      <c r="F38">
        <v>29</v>
      </c>
      <c r="G38">
        <v>21</v>
      </c>
      <c r="H38">
        <f>24+15</f>
        <v>39</v>
      </c>
      <c r="I38">
        <v>10</v>
      </c>
      <c r="J38">
        <v>10</v>
      </c>
      <c r="K38">
        <f t="shared" si="10"/>
        <v>194</v>
      </c>
      <c r="L38">
        <f t="shared" si="9"/>
        <v>161</v>
      </c>
      <c r="M38" t="str">
        <f t="shared" si="8"/>
        <v>Kathleen</v>
      </c>
      <c r="N38">
        <f t="shared" si="5"/>
        <v>33</v>
      </c>
    </row>
    <row r="39" spans="1:14" x14ac:dyDescent="0.35">
      <c r="A39">
        <v>38</v>
      </c>
      <c r="K39">
        <f t="shared" ref="K39:K102" si="11">C39+E39+G39+I39</f>
        <v>0</v>
      </c>
      <c r="L39">
        <f t="shared" ref="L39:L102" si="12">SUM(D39+F39+H39+J39)</f>
        <v>0</v>
      </c>
      <c r="M39" t="str">
        <f t="shared" ref="M39:M102" si="13">IF(K39&gt;L39, "Kathleen", "Emily")</f>
        <v>Emily</v>
      </c>
      <c r="N39">
        <f t="shared" ref="N39:N102" si="14">K39-L39</f>
        <v>0</v>
      </c>
    </row>
    <row r="40" spans="1:14" x14ac:dyDescent="0.35">
      <c r="A40">
        <v>39</v>
      </c>
      <c r="K40">
        <f t="shared" si="11"/>
        <v>0</v>
      </c>
      <c r="L40">
        <f t="shared" si="12"/>
        <v>0</v>
      </c>
      <c r="M40" t="str">
        <f t="shared" si="13"/>
        <v>Emily</v>
      </c>
      <c r="N40">
        <f t="shared" si="14"/>
        <v>0</v>
      </c>
    </row>
    <row r="41" spans="1:14" x14ac:dyDescent="0.35">
      <c r="A41">
        <v>40</v>
      </c>
      <c r="K41">
        <f t="shared" si="11"/>
        <v>0</v>
      </c>
      <c r="L41">
        <f t="shared" si="12"/>
        <v>0</v>
      </c>
      <c r="M41" t="str">
        <f t="shared" si="13"/>
        <v>Emily</v>
      </c>
      <c r="N41">
        <f t="shared" si="14"/>
        <v>0</v>
      </c>
    </row>
    <row r="42" spans="1:14" x14ac:dyDescent="0.35">
      <c r="A42">
        <v>41</v>
      </c>
      <c r="K42">
        <f t="shared" si="11"/>
        <v>0</v>
      </c>
      <c r="L42">
        <f t="shared" si="12"/>
        <v>0</v>
      </c>
      <c r="M42" t="str">
        <f t="shared" si="13"/>
        <v>Emily</v>
      </c>
      <c r="N42">
        <f t="shared" si="14"/>
        <v>0</v>
      </c>
    </row>
    <row r="43" spans="1:14" x14ac:dyDescent="0.35">
      <c r="A43">
        <v>42</v>
      </c>
      <c r="K43">
        <f t="shared" si="11"/>
        <v>0</v>
      </c>
      <c r="L43">
        <f t="shared" si="12"/>
        <v>0</v>
      </c>
      <c r="M43" t="str">
        <f t="shared" si="13"/>
        <v>Emily</v>
      </c>
      <c r="N43">
        <f t="shared" si="14"/>
        <v>0</v>
      </c>
    </row>
    <row r="44" spans="1:14" x14ac:dyDescent="0.35">
      <c r="A44">
        <v>43</v>
      </c>
      <c r="K44">
        <f t="shared" si="11"/>
        <v>0</v>
      </c>
      <c r="L44">
        <f t="shared" si="12"/>
        <v>0</v>
      </c>
      <c r="M44" t="str">
        <f t="shared" si="13"/>
        <v>Emily</v>
      </c>
      <c r="N44">
        <f t="shared" si="14"/>
        <v>0</v>
      </c>
    </row>
    <row r="45" spans="1:14" x14ac:dyDescent="0.35">
      <c r="A45">
        <v>44</v>
      </c>
      <c r="K45">
        <f t="shared" si="11"/>
        <v>0</v>
      </c>
      <c r="L45">
        <f t="shared" si="12"/>
        <v>0</v>
      </c>
      <c r="M45" t="str">
        <f t="shared" si="13"/>
        <v>Emily</v>
      </c>
      <c r="N45">
        <f t="shared" si="14"/>
        <v>0</v>
      </c>
    </row>
    <row r="46" spans="1:14" x14ac:dyDescent="0.35">
      <c r="A46">
        <v>45</v>
      </c>
      <c r="K46">
        <f t="shared" si="11"/>
        <v>0</v>
      </c>
      <c r="L46">
        <f t="shared" si="12"/>
        <v>0</v>
      </c>
      <c r="M46" t="str">
        <f t="shared" si="13"/>
        <v>Emily</v>
      </c>
      <c r="N46">
        <f t="shared" si="14"/>
        <v>0</v>
      </c>
    </row>
    <row r="47" spans="1:14" x14ac:dyDescent="0.35">
      <c r="A47">
        <v>46</v>
      </c>
      <c r="K47">
        <f t="shared" si="11"/>
        <v>0</v>
      </c>
      <c r="L47">
        <f t="shared" si="12"/>
        <v>0</v>
      </c>
      <c r="M47" t="str">
        <f t="shared" si="13"/>
        <v>Emily</v>
      </c>
      <c r="N47">
        <f t="shared" si="14"/>
        <v>0</v>
      </c>
    </row>
    <row r="48" spans="1:14" x14ac:dyDescent="0.35">
      <c r="A48">
        <v>47</v>
      </c>
      <c r="K48">
        <f t="shared" si="11"/>
        <v>0</v>
      </c>
      <c r="L48">
        <f t="shared" si="12"/>
        <v>0</v>
      </c>
      <c r="M48" t="str">
        <f t="shared" si="13"/>
        <v>Emily</v>
      </c>
      <c r="N48">
        <f t="shared" si="14"/>
        <v>0</v>
      </c>
    </row>
    <row r="49" spans="1:14" x14ac:dyDescent="0.35">
      <c r="A49">
        <v>48</v>
      </c>
      <c r="K49">
        <f t="shared" si="11"/>
        <v>0</v>
      </c>
      <c r="L49">
        <f t="shared" si="12"/>
        <v>0</v>
      </c>
      <c r="M49" t="str">
        <f t="shared" si="13"/>
        <v>Emily</v>
      </c>
      <c r="N49">
        <f t="shared" si="14"/>
        <v>0</v>
      </c>
    </row>
    <row r="50" spans="1:14" x14ac:dyDescent="0.35">
      <c r="A50">
        <v>49</v>
      </c>
      <c r="K50">
        <f t="shared" si="11"/>
        <v>0</v>
      </c>
      <c r="L50">
        <f t="shared" si="12"/>
        <v>0</v>
      </c>
      <c r="M50" t="str">
        <f t="shared" si="13"/>
        <v>Emily</v>
      </c>
      <c r="N50">
        <f t="shared" si="14"/>
        <v>0</v>
      </c>
    </row>
    <row r="51" spans="1:14" x14ac:dyDescent="0.35">
      <c r="A51">
        <v>50</v>
      </c>
      <c r="K51">
        <f t="shared" si="11"/>
        <v>0</v>
      </c>
      <c r="L51">
        <f t="shared" si="12"/>
        <v>0</v>
      </c>
      <c r="M51" t="str">
        <f t="shared" si="13"/>
        <v>Emily</v>
      </c>
      <c r="N51">
        <f t="shared" si="14"/>
        <v>0</v>
      </c>
    </row>
    <row r="52" spans="1:14" x14ac:dyDescent="0.35">
      <c r="A52">
        <v>51</v>
      </c>
      <c r="K52">
        <f t="shared" si="11"/>
        <v>0</v>
      </c>
      <c r="L52">
        <f t="shared" si="12"/>
        <v>0</v>
      </c>
      <c r="M52" t="str">
        <f t="shared" si="13"/>
        <v>Emily</v>
      </c>
      <c r="N52">
        <f t="shared" si="14"/>
        <v>0</v>
      </c>
    </row>
    <row r="53" spans="1:14" x14ac:dyDescent="0.35">
      <c r="A53">
        <v>52</v>
      </c>
      <c r="K53">
        <f t="shared" si="11"/>
        <v>0</v>
      </c>
      <c r="L53">
        <f t="shared" si="12"/>
        <v>0</v>
      </c>
      <c r="M53" t="str">
        <f t="shared" si="13"/>
        <v>Emily</v>
      </c>
      <c r="N53">
        <f t="shared" si="14"/>
        <v>0</v>
      </c>
    </row>
    <row r="54" spans="1:14" x14ac:dyDescent="0.35">
      <c r="A54">
        <v>53</v>
      </c>
      <c r="K54">
        <f t="shared" si="11"/>
        <v>0</v>
      </c>
      <c r="L54">
        <f t="shared" si="12"/>
        <v>0</v>
      </c>
      <c r="M54" t="str">
        <f t="shared" si="13"/>
        <v>Emily</v>
      </c>
      <c r="N54">
        <f t="shared" si="14"/>
        <v>0</v>
      </c>
    </row>
    <row r="55" spans="1:14" x14ac:dyDescent="0.35">
      <c r="A55">
        <v>54</v>
      </c>
      <c r="K55">
        <f t="shared" si="11"/>
        <v>0</v>
      </c>
      <c r="L55">
        <f t="shared" si="12"/>
        <v>0</v>
      </c>
      <c r="M55" t="str">
        <f t="shared" si="13"/>
        <v>Emily</v>
      </c>
      <c r="N55">
        <f t="shared" si="14"/>
        <v>0</v>
      </c>
    </row>
    <row r="56" spans="1:14" x14ac:dyDescent="0.35">
      <c r="A56">
        <v>55</v>
      </c>
      <c r="K56">
        <f t="shared" si="11"/>
        <v>0</v>
      </c>
      <c r="L56">
        <f t="shared" si="12"/>
        <v>0</v>
      </c>
      <c r="M56" t="str">
        <f t="shared" si="13"/>
        <v>Emily</v>
      </c>
      <c r="N56">
        <f t="shared" si="14"/>
        <v>0</v>
      </c>
    </row>
    <row r="57" spans="1:14" x14ac:dyDescent="0.35">
      <c r="A57">
        <v>56</v>
      </c>
      <c r="K57">
        <f t="shared" si="11"/>
        <v>0</v>
      </c>
      <c r="L57">
        <f t="shared" si="12"/>
        <v>0</v>
      </c>
      <c r="M57" t="str">
        <f t="shared" si="13"/>
        <v>Emily</v>
      </c>
      <c r="N57">
        <f t="shared" si="14"/>
        <v>0</v>
      </c>
    </row>
    <row r="58" spans="1:14" x14ac:dyDescent="0.35">
      <c r="A58">
        <v>57</v>
      </c>
      <c r="K58">
        <f t="shared" si="11"/>
        <v>0</v>
      </c>
      <c r="L58">
        <f t="shared" si="12"/>
        <v>0</v>
      </c>
      <c r="M58" t="str">
        <f t="shared" si="13"/>
        <v>Emily</v>
      </c>
      <c r="N58">
        <f t="shared" si="14"/>
        <v>0</v>
      </c>
    </row>
    <row r="59" spans="1:14" x14ac:dyDescent="0.35">
      <c r="A59">
        <v>58</v>
      </c>
      <c r="K59">
        <f t="shared" si="11"/>
        <v>0</v>
      </c>
      <c r="L59">
        <f t="shared" si="12"/>
        <v>0</v>
      </c>
      <c r="M59" t="str">
        <f t="shared" si="13"/>
        <v>Emily</v>
      </c>
      <c r="N59">
        <f t="shared" si="14"/>
        <v>0</v>
      </c>
    </row>
    <row r="60" spans="1:14" x14ac:dyDescent="0.35">
      <c r="A60">
        <v>59</v>
      </c>
      <c r="K60">
        <f t="shared" si="11"/>
        <v>0</v>
      </c>
      <c r="L60">
        <f t="shared" si="12"/>
        <v>0</v>
      </c>
      <c r="M60" t="str">
        <f t="shared" si="13"/>
        <v>Emily</v>
      </c>
      <c r="N60">
        <f t="shared" si="14"/>
        <v>0</v>
      </c>
    </row>
    <row r="61" spans="1:14" x14ac:dyDescent="0.35">
      <c r="A61">
        <v>60</v>
      </c>
      <c r="K61">
        <f t="shared" si="11"/>
        <v>0</v>
      </c>
      <c r="L61">
        <f t="shared" si="12"/>
        <v>0</v>
      </c>
      <c r="M61" t="str">
        <f t="shared" si="13"/>
        <v>Emily</v>
      </c>
      <c r="N61">
        <f t="shared" si="14"/>
        <v>0</v>
      </c>
    </row>
    <row r="62" spans="1:14" x14ac:dyDescent="0.35">
      <c r="A62">
        <v>61</v>
      </c>
      <c r="K62">
        <f t="shared" si="11"/>
        <v>0</v>
      </c>
      <c r="L62">
        <f t="shared" si="12"/>
        <v>0</v>
      </c>
      <c r="M62" t="str">
        <f t="shared" si="13"/>
        <v>Emily</v>
      </c>
      <c r="N62">
        <f t="shared" si="14"/>
        <v>0</v>
      </c>
    </row>
    <row r="63" spans="1:14" x14ac:dyDescent="0.35">
      <c r="A63">
        <v>62</v>
      </c>
      <c r="K63">
        <f t="shared" si="11"/>
        <v>0</v>
      </c>
      <c r="L63">
        <f t="shared" si="12"/>
        <v>0</v>
      </c>
      <c r="M63" t="str">
        <f t="shared" si="13"/>
        <v>Emily</v>
      </c>
      <c r="N63">
        <f t="shared" si="14"/>
        <v>0</v>
      </c>
    </row>
    <row r="64" spans="1:14" x14ac:dyDescent="0.35">
      <c r="A64">
        <v>63</v>
      </c>
      <c r="K64">
        <f t="shared" si="11"/>
        <v>0</v>
      </c>
      <c r="L64">
        <f t="shared" si="12"/>
        <v>0</v>
      </c>
      <c r="M64" t="str">
        <f t="shared" si="13"/>
        <v>Emily</v>
      </c>
      <c r="N64">
        <f t="shared" si="14"/>
        <v>0</v>
      </c>
    </row>
    <row r="65" spans="1:14" x14ac:dyDescent="0.35">
      <c r="A65">
        <v>64</v>
      </c>
      <c r="K65">
        <f t="shared" si="11"/>
        <v>0</v>
      </c>
      <c r="L65">
        <f t="shared" si="12"/>
        <v>0</v>
      </c>
      <c r="M65" t="str">
        <f t="shared" si="13"/>
        <v>Emily</v>
      </c>
      <c r="N65">
        <f t="shared" si="14"/>
        <v>0</v>
      </c>
    </row>
    <row r="66" spans="1:14" x14ac:dyDescent="0.35">
      <c r="A66">
        <v>65</v>
      </c>
      <c r="K66">
        <f t="shared" si="11"/>
        <v>0</v>
      </c>
      <c r="L66">
        <f t="shared" si="12"/>
        <v>0</v>
      </c>
      <c r="M66" t="str">
        <f t="shared" si="13"/>
        <v>Emily</v>
      </c>
      <c r="N66">
        <f t="shared" si="14"/>
        <v>0</v>
      </c>
    </row>
    <row r="67" spans="1:14" x14ac:dyDescent="0.35">
      <c r="A67">
        <v>66</v>
      </c>
      <c r="K67">
        <f t="shared" si="11"/>
        <v>0</v>
      </c>
      <c r="L67">
        <f t="shared" si="12"/>
        <v>0</v>
      </c>
      <c r="M67" t="str">
        <f t="shared" si="13"/>
        <v>Emily</v>
      </c>
      <c r="N67">
        <f t="shared" si="14"/>
        <v>0</v>
      </c>
    </row>
    <row r="68" spans="1:14" x14ac:dyDescent="0.35">
      <c r="A68">
        <v>67</v>
      </c>
      <c r="K68">
        <f t="shared" si="11"/>
        <v>0</v>
      </c>
      <c r="L68">
        <f t="shared" si="12"/>
        <v>0</v>
      </c>
      <c r="M68" t="str">
        <f t="shared" si="13"/>
        <v>Emily</v>
      </c>
      <c r="N68">
        <f t="shared" si="14"/>
        <v>0</v>
      </c>
    </row>
    <row r="69" spans="1:14" x14ac:dyDescent="0.35">
      <c r="A69">
        <v>68</v>
      </c>
      <c r="K69">
        <f t="shared" si="11"/>
        <v>0</v>
      </c>
      <c r="L69">
        <f t="shared" si="12"/>
        <v>0</v>
      </c>
      <c r="M69" t="str">
        <f t="shared" si="13"/>
        <v>Emily</v>
      </c>
      <c r="N69">
        <f t="shared" si="14"/>
        <v>0</v>
      </c>
    </row>
    <row r="70" spans="1:14" x14ac:dyDescent="0.35">
      <c r="A70">
        <v>69</v>
      </c>
      <c r="K70">
        <f t="shared" si="11"/>
        <v>0</v>
      </c>
      <c r="L70">
        <f t="shared" si="12"/>
        <v>0</v>
      </c>
      <c r="M70" t="str">
        <f t="shared" si="13"/>
        <v>Emily</v>
      </c>
      <c r="N70">
        <f t="shared" si="14"/>
        <v>0</v>
      </c>
    </row>
    <row r="71" spans="1:14" x14ac:dyDescent="0.35">
      <c r="A71">
        <v>70</v>
      </c>
      <c r="K71">
        <f t="shared" si="11"/>
        <v>0</v>
      </c>
      <c r="L71">
        <f t="shared" si="12"/>
        <v>0</v>
      </c>
      <c r="M71" t="str">
        <f t="shared" si="13"/>
        <v>Emily</v>
      </c>
      <c r="N71">
        <f t="shared" si="14"/>
        <v>0</v>
      </c>
    </row>
    <row r="72" spans="1:14" x14ac:dyDescent="0.35">
      <c r="A72">
        <v>71</v>
      </c>
      <c r="K72">
        <f t="shared" si="11"/>
        <v>0</v>
      </c>
      <c r="L72">
        <f t="shared" si="12"/>
        <v>0</v>
      </c>
      <c r="M72" t="str">
        <f t="shared" si="13"/>
        <v>Emily</v>
      </c>
      <c r="N72">
        <f t="shared" si="14"/>
        <v>0</v>
      </c>
    </row>
    <row r="73" spans="1:14" x14ac:dyDescent="0.35">
      <c r="A73">
        <v>72</v>
      </c>
      <c r="K73">
        <f t="shared" si="11"/>
        <v>0</v>
      </c>
      <c r="L73">
        <f t="shared" si="12"/>
        <v>0</v>
      </c>
      <c r="M73" t="str">
        <f t="shared" si="13"/>
        <v>Emily</v>
      </c>
      <c r="N73">
        <f t="shared" si="14"/>
        <v>0</v>
      </c>
    </row>
    <row r="74" spans="1:14" x14ac:dyDescent="0.35">
      <c r="A74">
        <v>73</v>
      </c>
      <c r="K74">
        <f t="shared" si="11"/>
        <v>0</v>
      </c>
      <c r="L74">
        <f t="shared" si="12"/>
        <v>0</v>
      </c>
      <c r="M74" t="str">
        <f t="shared" si="13"/>
        <v>Emily</v>
      </c>
      <c r="N74">
        <f t="shared" si="14"/>
        <v>0</v>
      </c>
    </row>
    <row r="75" spans="1:14" x14ac:dyDescent="0.35">
      <c r="A75">
        <v>74</v>
      </c>
      <c r="K75">
        <f t="shared" si="11"/>
        <v>0</v>
      </c>
      <c r="L75">
        <f t="shared" si="12"/>
        <v>0</v>
      </c>
      <c r="M75" t="str">
        <f t="shared" si="13"/>
        <v>Emily</v>
      </c>
      <c r="N75">
        <f t="shared" si="14"/>
        <v>0</v>
      </c>
    </row>
    <row r="76" spans="1:14" x14ac:dyDescent="0.35">
      <c r="A76">
        <v>75</v>
      </c>
      <c r="K76">
        <f t="shared" si="11"/>
        <v>0</v>
      </c>
      <c r="L76">
        <f t="shared" si="12"/>
        <v>0</v>
      </c>
      <c r="M76" t="str">
        <f t="shared" si="13"/>
        <v>Emily</v>
      </c>
      <c r="N76">
        <f t="shared" si="14"/>
        <v>0</v>
      </c>
    </row>
    <row r="77" spans="1:14" x14ac:dyDescent="0.35">
      <c r="A77">
        <v>76</v>
      </c>
      <c r="K77">
        <f t="shared" si="11"/>
        <v>0</v>
      </c>
      <c r="L77">
        <f t="shared" si="12"/>
        <v>0</v>
      </c>
      <c r="M77" t="str">
        <f t="shared" si="13"/>
        <v>Emily</v>
      </c>
      <c r="N77">
        <f t="shared" si="14"/>
        <v>0</v>
      </c>
    </row>
    <row r="78" spans="1:14" x14ac:dyDescent="0.35">
      <c r="A78">
        <v>77</v>
      </c>
      <c r="K78">
        <f t="shared" si="11"/>
        <v>0</v>
      </c>
      <c r="L78">
        <f t="shared" si="12"/>
        <v>0</v>
      </c>
      <c r="M78" t="str">
        <f t="shared" si="13"/>
        <v>Emily</v>
      </c>
      <c r="N78">
        <f t="shared" si="14"/>
        <v>0</v>
      </c>
    </row>
    <row r="79" spans="1:14" x14ac:dyDescent="0.35">
      <c r="A79">
        <v>78</v>
      </c>
      <c r="K79">
        <f t="shared" si="11"/>
        <v>0</v>
      </c>
      <c r="L79">
        <f t="shared" si="12"/>
        <v>0</v>
      </c>
      <c r="M79" t="str">
        <f t="shared" si="13"/>
        <v>Emily</v>
      </c>
      <c r="N79">
        <f t="shared" si="14"/>
        <v>0</v>
      </c>
    </row>
    <row r="80" spans="1:14" x14ac:dyDescent="0.35">
      <c r="A80">
        <v>79</v>
      </c>
      <c r="K80">
        <f t="shared" si="11"/>
        <v>0</v>
      </c>
      <c r="L80">
        <f t="shared" si="12"/>
        <v>0</v>
      </c>
      <c r="M80" t="str">
        <f t="shared" si="13"/>
        <v>Emily</v>
      </c>
      <c r="N80">
        <f t="shared" si="14"/>
        <v>0</v>
      </c>
    </row>
    <row r="81" spans="1:14" x14ac:dyDescent="0.35">
      <c r="A81">
        <v>80</v>
      </c>
      <c r="K81">
        <f t="shared" si="11"/>
        <v>0</v>
      </c>
      <c r="L81">
        <f t="shared" si="12"/>
        <v>0</v>
      </c>
      <c r="M81" t="str">
        <f t="shared" si="13"/>
        <v>Emily</v>
      </c>
      <c r="N81">
        <f t="shared" si="14"/>
        <v>0</v>
      </c>
    </row>
    <row r="82" spans="1:14" x14ac:dyDescent="0.35">
      <c r="A82">
        <v>81</v>
      </c>
      <c r="K82">
        <f t="shared" si="11"/>
        <v>0</v>
      </c>
      <c r="L82">
        <f t="shared" si="12"/>
        <v>0</v>
      </c>
      <c r="M82" t="str">
        <f t="shared" si="13"/>
        <v>Emily</v>
      </c>
      <c r="N82">
        <f t="shared" si="14"/>
        <v>0</v>
      </c>
    </row>
    <row r="83" spans="1:14" x14ac:dyDescent="0.35">
      <c r="A83">
        <v>82</v>
      </c>
      <c r="K83">
        <f t="shared" si="11"/>
        <v>0</v>
      </c>
      <c r="L83">
        <f t="shared" si="12"/>
        <v>0</v>
      </c>
      <c r="M83" t="str">
        <f t="shared" si="13"/>
        <v>Emily</v>
      </c>
      <c r="N83">
        <f t="shared" si="14"/>
        <v>0</v>
      </c>
    </row>
    <row r="84" spans="1:14" x14ac:dyDescent="0.35">
      <c r="A84">
        <v>83</v>
      </c>
      <c r="K84">
        <f t="shared" si="11"/>
        <v>0</v>
      </c>
      <c r="L84">
        <f t="shared" si="12"/>
        <v>0</v>
      </c>
      <c r="M84" t="str">
        <f t="shared" si="13"/>
        <v>Emily</v>
      </c>
      <c r="N84">
        <f t="shared" si="14"/>
        <v>0</v>
      </c>
    </row>
    <row r="85" spans="1:14" x14ac:dyDescent="0.35">
      <c r="A85">
        <v>84</v>
      </c>
      <c r="K85">
        <f t="shared" si="11"/>
        <v>0</v>
      </c>
      <c r="L85">
        <f t="shared" si="12"/>
        <v>0</v>
      </c>
      <c r="M85" t="str">
        <f t="shared" si="13"/>
        <v>Emily</v>
      </c>
      <c r="N85">
        <f t="shared" si="14"/>
        <v>0</v>
      </c>
    </row>
    <row r="86" spans="1:14" x14ac:dyDescent="0.35">
      <c r="A86">
        <v>85</v>
      </c>
      <c r="K86">
        <f t="shared" si="11"/>
        <v>0</v>
      </c>
      <c r="L86">
        <f t="shared" si="12"/>
        <v>0</v>
      </c>
      <c r="M86" t="str">
        <f t="shared" si="13"/>
        <v>Emily</v>
      </c>
      <c r="N86">
        <f t="shared" si="14"/>
        <v>0</v>
      </c>
    </row>
    <row r="87" spans="1:14" x14ac:dyDescent="0.35">
      <c r="A87">
        <v>86</v>
      </c>
      <c r="K87">
        <f t="shared" si="11"/>
        <v>0</v>
      </c>
      <c r="L87">
        <f t="shared" si="12"/>
        <v>0</v>
      </c>
      <c r="M87" t="str">
        <f t="shared" si="13"/>
        <v>Emily</v>
      </c>
      <c r="N87">
        <f t="shared" si="14"/>
        <v>0</v>
      </c>
    </row>
    <row r="88" spans="1:14" x14ac:dyDescent="0.35">
      <c r="A88">
        <v>87</v>
      </c>
      <c r="K88">
        <f t="shared" si="11"/>
        <v>0</v>
      </c>
      <c r="L88">
        <f t="shared" si="12"/>
        <v>0</v>
      </c>
      <c r="M88" t="str">
        <f t="shared" si="13"/>
        <v>Emily</v>
      </c>
      <c r="N88">
        <f t="shared" si="14"/>
        <v>0</v>
      </c>
    </row>
    <row r="89" spans="1:14" x14ac:dyDescent="0.35">
      <c r="A89">
        <v>88</v>
      </c>
      <c r="K89">
        <f t="shared" si="11"/>
        <v>0</v>
      </c>
      <c r="L89">
        <f t="shared" si="12"/>
        <v>0</v>
      </c>
      <c r="M89" t="str">
        <f t="shared" si="13"/>
        <v>Emily</v>
      </c>
      <c r="N89">
        <f t="shared" si="14"/>
        <v>0</v>
      </c>
    </row>
    <row r="90" spans="1:14" x14ac:dyDescent="0.35">
      <c r="A90">
        <v>89</v>
      </c>
      <c r="K90">
        <f t="shared" si="11"/>
        <v>0</v>
      </c>
      <c r="L90">
        <f t="shared" si="12"/>
        <v>0</v>
      </c>
      <c r="M90" t="str">
        <f t="shared" si="13"/>
        <v>Emily</v>
      </c>
      <c r="N90">
        <f t="shared" si="14"/>
        <v>0</v>
      </c>
    </row>
    <row r="91" spans="1:14" x14ac:dyDescent="0.35">
      <c r="A91">
        <v>90</v>
      </c>
      <c r="K91">
        <f t="shared" si="11"/>
        <v>0</v>
      </c>
      <c r="L91">
        <f t="shared" si="12"/>
        <v>0</v>
      </c>
      <c r="M91" t="str">
        <f t="shared" si="13"/>
        <v>Emily</v>
      </c>
      <c r="N91">
        <f t="shared" si="14"/>
        <v>0</v>
      </c>
    </row>
    <row r="92" spans="1:14" x14ac:dyDescent="0.35">
      <c r="A92">
        <v>91</v>
      </c>
      <c r="K92">
        <f t="shared" si="11"/>
        <v>0</v>
      </c>
      <c r="L92">
        <f t="shared" si="12"/>
        <v>0</v>
      </c>
      <c r="M92" t="str">
        <f t="shared" si="13"/>
        <v>Emily</v>
      </c>
      <c r="N92">
        <f t="shared" si="14"/>
        <v>0</v>
      </c>
    </row>
    <row r="93" spans="1:14" x14ac:dyDescent="0.35">
      <c r="A93">
        <v>92</v>
      </c>
      <c r="K93">
        <f t="shared" si="11"/>
        <v>0</v>
      </c>
      <c r="L93">
        <f t="shared" si="12"/>
        <v>0</v>
      </c>
      <c r="M93" t="str">
        <f t="shared" si="13"/>
        <v>Emily</v>
      </c>
      <c r="N93">
        <f t="shared" si="14"/>
        <v>0</v>
      </c>
    </row>
    <row r="94" spans="1:14" x14ac:dyDescent="0.35">
      <c r="A94">
        <v>93</v>
      </c>
      <c r="K94">
        <f t="shared" si="11"/>
        <v>0</v>
      </c>
      <c r="L94">
        <f t="shared" si="12"/>
        <v>0</v>
      </c>
      <c r="M94" t="str">
        <f t="shared" si="13"/>
        <v>Emily</v>
      </c>
      <c r="N94">
        <f t="shared" si="14"/>
        <v>0</v>
      </c>
    </row>
    <row r="95" spans="1:14" x14ac:dyDescent="0.35">
      <c r="A95">
        <v>94</v>
      </c>
      <c r="K95">
        <f t="shared" si="11"/>
        <v>0</v>
      </c>
      <c r="L95">
        <f t="shared" si="12"/>
        <v>0</v>
      </c>
      <c r="M95" t="str">
        <f t="shared" si="13"/>
        <v>Emily</v>
      </c>
      <c r="N95">
        <f t="shared" si="14"/>
        <v>0</v>
      </c>
    </row>
    <row r="96" spans="1:14" x14ac:dyDescent="0.35">
      <c r="A96">
        <v>95</v>
      </c>
      <c r="K96">
        <f t="shared" si="11"/>
        <v>0</v>
      </c>
      <c r="L96">
        <f t="shared" si="12"/>
        <v>0</v>
      </c>
      <c r="M96" t="str">
        <f t="shared" si="13"/>
        <v>Emily</v>
      </c>
      <c r="N96">
        <f t="shared" si="14"/>
        <v>0</v>
      </c>
    </row>
    <row r="97" spans="1:14" x14ac:dyDescent="0.35">
      <c r="A97">
        <v>96</v>
      </c>
      <c r="K97">
        <f t="shared" si="11"/>
        <v>0</v>
      </c>
      <c r="L97">
        <f t="shared" si="12"/>
        <v>0</v>
      </c>
      <c r="M97" t="str">
        <f t="shared" si="13"/>
        <v>Emily</v>
      </c>
      <c r="N97">
        <f t="shared" si="14"/>
        <v>0</v>
      </c>
    </row>
    <row r="98" spans="1:14" x14ac:dyDescent="0.35">
      <c r="A98">
        <v>97</v>
      </c>
      <c r="K98">
        <f t="shared" si="11"/>
        <v>0</v>
      </c>
      <c r="L98">
        <f t="shared" si="12"/>
        <v>0</v>
      </c>
      <c r="M98" t="str">
        <f t="shared" si="13"/>
        <v>Emily</v>
      </c>
      <c r="N98">
        <f t="shared" si="14"/>
        <v>0</v>
      </c>
    </row>
    <row r="99" spans="1:14" x14ac:dyDescent="0.35">
      <c r="A99">
        <v>98</v>
      </c>
      <c r="K99">
        <f t="shared" si="11"/>
        <v>0</v>
      </c>
      <c r="L99">
        <f t="shared" si="12"/>
        <v>0</v>
      </c>
      <c r="M99" t="str">
        <f t="shared" si="13"/>
        <v>Emily</v>
      </c>
      <c r="N99">
        <f t="shared" si="14"/>
        <v>0</v>
      </c>
    </row>
    <row r="100" spans="1:14" x14ac:dyDescent="0.35">
      <c r="A100">
        <v>99</v>
      </c>
      <c r="K100">
        <f t="shared" si="11"/>
        <v>0</v>
      </c>
      <c r="L100">
        <f t="shared" si="12"/>
        <v>0</v>
      </c>
      <c r="M100" t="str">
        <f t="shared" si="13"/>
        <v>Emily</v>
      </c>
      <c r="N100">
        <f t="shared" si="14"/>
        <v>0</v>
      </c>
    </row>
    <row r="101" spans="1:14" x14ac:dyDescent="0.35">
      <c r="A101">
        <v>100</v>
      </c>
      <c r="K101">
        <f t="shared" si="11"/>
        <v>0</v>
      </c>
      <c r="L101">
        <f t="shared" si="12"/>
        <v>0</v>
      </c>
      <c r="M101" t="str">
        <f t="shared" si="13"/>
        <v>Emily</v>
      </c>
      <c r="N101">
        <f t="shared" si="14"/>
        <v>0</v>
      </c>
    </row>
    <row r="102" spans="1:14" x14ac:dyDescent="0.35">
      <c r="A102">
        <v>101</v>
      </c>
      <c r="K102">
        <f t="shared" si="11"/>
        <v>0</v>
      </c>
      <c r="L102">
        <f t="shared" si="12"/>
        <v>0</v>
      </c>
      <c r="M102" t="str">
        <f t="shared" si="13"/>
        <v>Emily</v>
      </c>
      <c r="N102">
        <f t="shared" si="14"/>
        <v>0</v>
      </c>
    </row>
    <row r="103" spans="1:14" x14ac:dyDescent="0.35">
      <c r="A103">
        <v>102</v>
      </c>
      <c r="K103">
        <f t="shared" ref="K103:K145" si="15">C103+E103+G103+I103</f>
        <v>0</v>
      </c>
      <c r="L103">
        <f t="shared" ref="L103:L145" si="16">SUM(D103+F103+H103+J103)</f>
        <v>0</v>
      </c>
      <c r="M103" t="str">
        <f t="shared" ref="M103:M145" si="17">IF(K103&gt;L103, "Kathleen", "Emily")</f>
        <v>Emily</v>
      </c>
      <c r="N103">
        <f t="shared" ref="N103:N145" si="18">K103-L103</f>
        <v>0</v>
      </c>
    </row>
    <row r="104" spans="1:14" x14ac:dyDescent="0.35">
      <c r="A104">
        <v>103</v>
      </c>
      <c r="K104">
        <f t="shared" si="15"/>
        <v>0</v>
      </c>
      <c r="L104">
        <f t="shared" si="16"/>
        <v>0</v>
      </c>
      <c r="M104" t="str">
        <f t="shared" si="17"/>
        <v>Emily</v>
      </c>
      <c r="N104">
        <f t="shared" si="18"/>
        <v>0</v>
      </c>
    </row>
    <row r="105" spans="1:14" x14ac:dyDescent="0.35">
      <c r="A105">
        <v>104</v>
      </c>
      <c r="K105">
        <f t="shared" si="15"/>
        <v>0</v>
      </c>
      <c r="L105">
        <f t="shared" si="16"/>
        <v>0</v>
      </c>
      <c r="M105" t="str">
        <f t="shared" si="17"/>
        <v>Emily</v>
      </c>
      <c r="N105">
        <f t="shared" si="18"/>
        <v>0</v>
      </c>
    </row>
    <row r="106" spans="1:14" x14ac:dyDescent="0.35">
      <c r="A106">
        <v>105</v>
      </c>
      <c r="K106">
        <f t="shared" si="15"/>
        <v>0</v>
      </c>
      <c r="L106">
        <f t="shared" si="16"/>
        <v>0</v>
      </c>
      <c r="M106" t="str">
        <f t="shared" si="17"/>
        <v>Emily</v>
      </c>
      <c r="N106">
        <f t="shared" si="18"/>
        <v>0</v>
      </c>
    </row>
    <row r="107" spans="1:14" x14ac:dyDescent="0.35">
      <c r="A107">
        <v>106</v>
      </c>
      <c r="K107">
        <f t="shared" si="15"/>
        <v>0</v>
      </c>
      <c r="L107">
        <f t="shared" si="16"/>
        <v>0</v>
      </c>
      <c r="M107" t="str">
        <f t="shared" si="17"/>
        <v>Emily</v>
      </c>
      <c r="N107">
        <f t="shared" si="18"/>
        <v>0</v>
      </c>
    </row>
    <row r="108" spans="1:14" x14ac:dyDescent="0.35">
      <c r="A108">
        <v>107</v>
      </c>
      <c r="K108">
        <f t="shared" si="15"/>
        <v>0</v>
      </c>
      <c r="L108">
        <f t="shared" si="16"/>
        <v>0</v>
      </c>
      <c r="M108" t="str">
        <f t="shared" si="17"/>
        <v>Emily</v>
      </c>
      <c r="N108">
        <f t="shared" si="18"/>
        <v>0</v>
      </c>
    </row>
    <row r="109" spans="1:14" x14ac:dyDescent="0.35">
      <c r="A109">
        <v>108</v>
      </c>
      <c r="K109">
        <f t="shared" si="15"/>
        <v>0</v>
      </c>
      <c r="L109">
        <f t="shared" si="16"/>
        <v>0</v>
      </c>
      <c r="M109" t="str">
        <f t="shared" si="17"/>
        <v>Emily</v>
      </c>
      <c r="N109">
        <f t="shared" si="18"/>
        <v>0</v>
      </c>
    </row>
    <row r="110" spans="1:14" x14ac:dyDescent="0.35">
      <c r="A110">
        <v>109</v>
      </c>
      <c r="K110">
        <f t="shared" si="15"/>
        <v>0</v>
      </c>
      <c r="L110">
        <f t="shared" si="16"/>
        <v>0</v>
      </c>
      <c r="M110" t="str">
        <f t="shared" si="17"/>
        <v>Emily</v>
      </c>
      <c r="N110">
        <f t="shared" si="18"/>
        <v>0</v>
      </c>
    </row>
    <row r="111" spans="1:14" x14ac:dyDescent="0.35">
      <c r="A111">
        <v>110</v>
      </c>
      <c r="K111">
        <f t="shared" si="15"/>
        <v>0</v>
      </c>
      <c r="L111">
        <f t="shared" si="16"/>
        <v>0</v>
      </c>
      <c r="M111" t="str">
        <f t="shared" si="17"/>
        <v>Emily</v>
      </c>
      <c r="N111">
        <f t="shared" si="18"/>
        <v>0</v>
      </c>
    </row>
    <row r="112" spans="1:14" x14ac:dyDescent="0.35">
      <c r="A112">
        <v>111</v>
      </c>
      <c r="K112">
        <f t="shared" si="15"/>
        <v>0</v>
      </c>
      <c r="L112">
        <f t="shared" si="16"/>
        <v>0</v>
      </c>
      <c r="M112" t="str">
        <f t="shared" si="17"/>
        <v>Emily</v>
      </c>
      <c r="N112">
        <f t="shared" si="18"/>
        <v>0</v>
      </c>
    </row>
    <row r="113" spans="1:14" x14ac:dyDescent="0.35">
      <c r="A113">
        <v>112</v>
      </c>
      <c r="K113">
        <f t="shared" si="15"/>
        <v>0</v>
      </c>
      <c r="L113">
        <f t="shared" si="16"/>
        <v>0</v>
      </c>
      <c r="M113" t="str">
        <f t="shared" si="17"/>
        <v>Emily</v>
      </c>
      <c r="N113">
        <f t="shared" si="18"/>
        <v>0</v>
      </c>
    </row>
    <row r="114" spans="1:14" x14ac:dyDescent="0.35">
      <c r="A114">
        <v>113</v>
      </c>
      <c r="K114">
        <f t="shared" si="15"/>
        <v>0</v>
      </c>
      <c r="L114">
        <f t="shared" si="16"/>
        <v>0</v>
      </c>
      <c r="M114" t="str">
        <f t="shared" si="17"/>
        <v>Emily</v>
      </c>
      <c r="N114">
        <f t="shared" si="18"/>
        <v>0</v>
      </c>
    </row>
    <row r="115" spans="1:14" x14ac:dyDescent="0.35">
      <c r="A115">
        <v>114</v>
      </c>
      <c r="K115">
        <f t="shared" si="15"/>
        <v>0</v>
      </c>
      <c r="L115">
        <f t="shared" si="16"/>
        <v>0</v>
      </c>
      <c r="M115" t="str">
        <f t="shared" si="17"/>
        <v>Emily</v>
      </c>
      <c r="N115">
        <f t="shared" si="18"/>
        <v>0</v>
      </c>
    </row>
    <row r="116" spans="1:14" x14ac:dyDescent="0.35">
      <c r="A116">
        <v>115</v>
      </c>
      <c r="K116">
        <f t="shared" si="15"/>
        <v>0</v>
      </c>
      <c r="L116">
        <f t="shared" si="16"/>
        <v>0</v>
      </c>
      <c r="M116" t="str">
        <f t="shared" si="17"/>
        <v>Emily</v>
      </c>
      <c r="N116">
        <f t="shared" si="18"/>
        <v>0</v>
      </c>
    </row>
    <row r="117" spans="1:14" x14ac:dyDescent="0.35">
      <c r="A117">
        <v>116</v>
      </c>
      <c r="K117">
        <f t="shared" si="15"/>
        <v>0</v>
      </c>
      <c r="L117">
        <f t="shared" si="16"/>
        <v>0</v>
      </c>
      <c r="M117" t="str">
        <f t="shared" si="17"/>
        <v>Emily</v>
      </c>
      <c r="N117">
        <f t="shared" si="18"/>
        <v>0</v>
      </c>
    </row>
    <row r="118" spans="1:14" x14ac:dyDescent="0.35">
      <c r="A118">
        <v>117</v>
      </c>
      <c r="K118">
        <f t="shared" si="15"/>
        <v>0</v>
      </c>
      <c r="L118">
        <f t="shared" si="16"/>
        <v>0</v>
      </c>
      <c r="M118" t="str">
        <f t="shared" si="17"/>
        <v>Emily</v>
      </c>
      <c r="N118">
        <f t="shared" si="18"/>
        <v>0</v>
      </c>
    </row>
    <row r="119" spans="1:14" x14ac:dyDescent="0.35">
      <c r="A119">
        <v>118</v>
      </c>
      <c r="K119">
        <f t="shared" si="15"/>
        <v>0</v>
      </c>
      <c r="L119">
        <f t="shared" si="16"/>
        <v>0</v>
      </c>
      <c r="M119" t="str">
        <f t="shared" si="17"/>
        <v>Emily</v>
      </c>
      <c r="N119">
        <f t="shared" si="18"/>
        <v>0</v>
      </c>
    </row>
    <row r="120" spans="1:14" x14ac:dyDescent="0.35">
      <c r="A120">
        <v>119</v>
      </c>
      <c r="K120">
        <f t="shared" si="15"/>
        <v>0</v>
      </c>
      <c r="L120">
        <f t="shared" si="16"/>
        <v>0</v>
      </c>
      <c r="M120" t="str">
        <f t="shared" si="17"/>
        <v>Emily</v>
      </c>
      <c r="N120">
        <f t="shared" si="18"/>
        <v>0</v>
      </c>
    </row>
    <row r="121" spans="1:14" x14ac:dyDescent="0.35">
      <c r="A121">
        <v>120</v>
      </c>
      <c r="K121">
        <f t="shared" si="15"/>
        <v>0</v>
      </c>
      <c r="L121">
        <f t="shared" si="16"/>
        <v>0</v>
      </c>
      <c r="M121" t="str">
        <f t="shared" si="17"/>
        <v>Emily</v>
      </c>
      <c r="N121">
        <f t="shared" si="18"/>
        <v>0</v>
      </c>
    </row>
    <row r="122" spans="1:14" x14ac:dyDescent="0.35">
      <c r="A122">
        <v>121</v>
      </c>
      <c r="K122">
        <f t="shared" si="15"/>
        <v>0</v>
      </c>
      <c r="L122">
        <f t="shared" si="16"/>
        <v>0</v>
      </c>
      <c r="M122" t="str">
        <f t="shared" si="17"/>
        <v>Emily</v>
      </c>
      <c r="N122">
        <f t="shared" si="18"/>
        <v>0</v>
      </c>
    </row>
    <row r="123" spans="1:14" x14ac:dyDescent="0.35">
      <c r="A123">
        <v>122</v>
      </c>
      <c r="K123">
        <f t="shared" si="15"/>
        <v>0</v>
      </c>
      <c r="L123">
        <f t="shared" si="16"/>
        <v>0</v>
      </c>
      <c r="M123" t="str">
        <f t="shared" si="17"/>
        <v>Emily</v>
      </c>
      <c r="N123">
        <f t="shared" si="18"/>
        <v>0</v>
      </c>
    </row>
    <row r="124" spans="1:14" x14ac:dyDescent="0.35">
      <c r="A124">
        <v>123</v>
      </c>
      <c r="K124">
        <f t="shared" si="15"/>
        <v>0</v>
      </c>
      <c r="L124">
        <f t="shared" si="16"/>
        <v>0</v>
      </c>
      <c r="M124" t="str">
        <f t="shared" si="17"/>
        <v>Emily</v>
      </c>
      <c r="N124">
        <f t="shared" si="18"/>
        <v>0</v>
      </c>
    </row>
    <row r="125" spans="1:14" x14ac:dyDescent="0.35">
      <c r="A125">
        <v>124</v>
      </c>
      <c r="K125">
        <f t="shared" si="15"/>
        <v>0</v>
      </c>
      <c r="L125">
        <f t="shared" si="16"/>
        <v>0</v>
      </c>
      <c r="M125" t="str">
        <f t="shared" si="17"/>
        <v>Emily</v>
      </c>
      <c r="N125">
        <f t="shared" si="18"/>
        <v>0</v>
      </c>
    </row>
    <row r="126" spans="1:14" x14ac:dyDescent="0.35">
      <c r="A126">
        <v>125</v>
      </c>
      <c r="K126">
        <f t="shared" si="15"/>
        <v>0</v>
      </c>
      <c r="L126">
        <f t="shared" si="16"/>
        <v>0</v>
      </c>
      <c r="M126" t="str">
        <f t="shared" si="17"/>
        <v>Emily</v>
      </c>
      <c r="N126">
        <f t="shared" si="18"/>
        <v>0</v>
      </c>
    </row>
    <row r="127" spans="1:14" x14ac:dyDescent="0.35">
      <c r="A127">
        <v>126</v>
      </c>
      <c r="K127">
        <f t="shared" si="15"/>
        <v>0</v>
      </c>
      <c r="L127">
        <f t="shared" si="16"/>
        <v>0</v>
      </c>
      <c r="M127" t="str">
        <f t="shared" si="17"/>
        <v>Emily</v>
      </c>
      <c r="N127">
        <f t="shared" si="18"/>
        <v>0</v>
      </c>
    </row>
    <row r="128" spans="1:14" x14ac:dyDescent="0.35">
      <c r="A128">
        <v>127</v>
      </c>
      <c r="K128">
        <f t="shared" si="15"/>
        <v>0</v>
      </c>
      <c r="L128">
        <f t="shared" si="16"/>
        <v>0</v>
      </c>
      <c r="M128" t="str">
        <f t="shared" si="17"/>
        <v>Emily</v>
      </c>
      <c r="N128">
        <f t="shared" si="18"/>
        <v>0</v>
      </c>
    </row>
    <row r="129" spans="1:14" x14ac:dyDescent="0.35">
      <c r="A129">
        <v>128</v>
      </c>
      <c r="K129">
        <f t="shared" si="15"/>
        <v>0</v>
      </c>
      <c r="L129">
        <f t="shared" si="16"/>
        <v>0</v>
      </c>
      <c r="M129" t="str">
        <f t="shared" si="17"/>
        <v>Emily</v>
      </c>
      <c r="N129">
        <f t="shared" si="18"/>
        <v>0</v>
      </c>
    </row>
    <row r="130" spans="1:14" x14ac:dyDescent="0.35">
      <c r="A130">
        <v>129</v>
      </c>
      <c r="K130">
        <f t="shared" si="15"/>
        <v>0</v>
      </c>
      <c r="L130">
        <f t="shared" si="16"/>
        <v>0</v>
      </c>
      <c r="M130" t="str">
        <f t="shared" si="17"/>
        <v>Emily</v>
      </c>
      <c r="N130">
        <f t="shared" si="18"/>
        <v>0</v>
      </c>
    </row>
    <row r="131" spans="1:14" x14ac:dyDescent="0.35">
      <c r="A131">
        <v>130</v>
      </c>
      <c r="K131">
        <f t="shared" si="15"/>
        <v>0</v>
      </c>
      <c r="L131">
        <f t="shared" si="16"/>
        <v>0</v>
      </c>
      <c r="M131" t="str">
        <f t="shared" si="17"/>
        <v>Emily</v>
      </c>
      <c r="N131">
        <f t="shared" si="18"/>
        <v>0</v>
      </c>
    </row>
    <row r="132" spans="1:14" x14ac:dyDescent="0.35">
      <c r="A132">
        <v>131</v>
      </c>
      <c r="K132">
        <f t="shared" si="15"/>
        <v>0</v>
      </c>
      <c r="L132">
        <f t="shared" si="16"/>
        <v>0</v>
      </c>
      <c r="M132" t="str">
        <f t="shared" si="17"/>
        <v>Emily</v>
      </c>
      <c r="N132">
        <f t="shared" si="18"/>
        <v>0</v>
      </c>
    </row>
    <row r="133" spans="1:14" x14ac:dyDescent="0.35">
      <c r="A133">
        <v>132</v>
      </c>
      <c r="K133">
        <f t="shared" si="15"/>
        <v>0</v>
      </c>
      <c r="L133">
        <f t="shared" si="16"/>
        <v>0</v>
      </c>
      <c r="M133" t="str">
        <f t="shared" si="17"/>
        <v>Emily</v>
      </c>
      <c r="N133">
        <f t="shared" si="18"/>
        <v>0</v>
      </c>
    </row>
    <row r="134" spans="1:14" x14ac:dyDescent="0.35">
      <c r="A134">
        <v>133</v>
      </c>
      <c r="K134">
        <f t="shared" si="15"/>
        <v>0</v>
      </c>
      <c r="L134">
        <f t="shared" si="16"/>
        <v>0</v>
      </c>
      <c r="M134" t="str">
        <f t="shared" si="17"/>
        <v>Emily</v>
      </c>
      <c r="N134">
        <f t="shared" si="18"/>
        <v>0</v>
      </c>
    </row>
    <row r="135" spans="1:14" x14ac:dyDescent="0.35">
      <c r="A135">
        <v>134</v>
      </c>
      <c r="K135">
        <f t="shared" si="15"/>
        <v>0</v>
      </c>
      <c r="L135">
        <f t="shared" si="16"/>
        <v>0</v>
      </c>
      <c r="M135" t="str">
        <f t="shared" si="17"/>
        <v>Emily</v>
      </c>
      <c r="N135">
        <f t="shared" si="18"/>
        <v>0</v>
      </c>
    </row>
    <row r="136" spans="1:14" x14ac:dyDescent="0.35">
      <c r="A136">
        <v>135</v>
      </c>
      <c r="K136">
        <f t="shared" si="15"/>
        <v>0</v>
      </c>
      <c r="L136">
        <f t="shared" si="16"/>
        <v>0</v>
      </c>
      <c r="M136" t="str">
        <f t="shared" si="17"/>
        <v>Emily</v>
      </c>
      <c r="N136">
        <f t="shared" si="18"/>
        <v>0</v>
      </c>
    </row>
    <row r="137" spans="1:14" x14ac:dyDescent="0.35">
      <c r="A137">
        <v>136</v>
      </c>
      <c r="K137">
        <f t="shared" si="15"/>
        <v>0</v>
      </c>
      <c r="L137">
        <f t="shared" si="16"/>
        <v>0</v>
      </c>
      <c r="M137" t="str">
        <f t="shared" si="17"/>
        <v>Emily</v>
      </c>
      <c r="N137">
        <f t="shared" si="18"/>
        <v>0</v>
      </c>
    </row>
    <row r="138" spans="1:14" x14ac:dyDescent="0.35">
      <c r="A138">
        <v>137</v>
      </c>
      <c r="K138">
        <f t="shared" si="15"/>
        <v>0</v>
      </c>
      <c r="L138">
        <f t="shared" si="16"/>
        <v>0</v>
      </c>
      <c r="M138" t="str">
        <f t="shared" si="17"/>
        <v>Emily</v>
      </c>
      <c r="N138">
        <f t="shared" si="18"/>
        <v>0</v>
      </c>
    </row>
    <row r="139" spans="1:14" x14ac:dyDescent="0.35">
      <c r="A139">
        <v>138</v>
      </c>
      <c r="K139">
        <f t="shared" si="15"/>
        <v>0</v>
      </c>
      <c r="L139">
        <f t="shared" si="16"/>
        <v>0</v>
      </c>
      <c r="M139" t="str">
        <f t="shared" si="17"/>
        <v>Emily</v>
      </c>
      <c r="N139">
        <f t="shared" si="18"/>
        <v>0</v>
      </c>
    </row>
    <row r="140" spans="1:14" x14ac:dyDescent="0.35">
      <c r="A140">
        <v>139</v>
      </c>
      <c r="K140">
        <f t="shared" si="15"/>
        <v>0</v>
      </c>
      <c r="L140">
        <f t="shared" si="16"/>
        <v>0</v>
      </c>
      <c r="M140" t="str">
        <f t="shared" si="17"/>
        <v>Emily</v>
      </c>
      <c r="N140">
        <f t="shared" si="18"/>
        <v>0</v>
      </c>
    </row>
    <row r="141" spans="1:14" x14ac:dyDescent="0.35">
      <c r="A141">
        <v>140</v>
      </c>
      <c r="K141">
        <f t="shared" si="15"/>
        <v>0</v>
      </c>
      <c r="L141">
        <f t="shared" si="16"/>
        <v>0</v>
      </c>
      <c r="M141" t="str">
        <f t="shared" si="17"/>
        <v>Emily</v>
      </c>
      <c r="N141">
        <f t="shared" si="18"/>
        <v>0</v>
      </c>
    </row>
    <row r="142" spans="1:14" x14ac:dyDescent="0.35">
      <c r="A142">
        <v>141</v>
      </c>
      <c r="K142">
        <f t="shared" si="15"/>
        <v>0</v>
      </c>
      <c r="L142">
        <f t="shared" si="16"/>
        <v>0</v>
      </c>
      <c r="M142" t="str">
        <f t="shared" si="17"/>
        <v>Emily</v>
      </c>
      <c r="N142">
        <f t="shared" si="18"/>
        <v>0</v>
      </c>
    </row>
    <row r="143" spans="1:14" x14ac:dyDescent="0.35">
      <c r="A143">
        <v>142</v>
      </c>
      <c r="K143">
        <f t="shared" si="15"/>
        <v>0</v>
      </c>
      <c r="L143">
        <f t="shared" si="16"/>
        <v>0</v>
      </c>
      <c r="M143" t="str">
        <f t="shared" si="17"/>
        <v>Emily</v>
      </c>
      <c r="N143">
        <f t="shared" si="18"/>
        <v>0</v>
      </c>
    </row>
    <row r="144" spans="1:14" x14ac:dyDescent="0.35">
      <c r="A144">
        <v>143</v>
      </c>
      <c r="K144">
        <f t="shared" si="15"/>
        <v>0</v>
      </c>
      <c r="L144">
        <f t="shared" si="16"/>
        <v>0</v>
      </c>
      <c r="M144" t="str">
        <f t="shared" si="17"/>
        <v>Emily</v>
      </c>
      <c r="N144">
        <f t="shared" si="18"/>
        <v>0</v>
      </c>
    </row>
    <row r="145" spans="1:14" x14ac:dyDescent="0.35">
      <c r="A145">
        <v>144</v>
      </c>
      <c r="K145">
        <f t="shared" si="15"/>
        <v>0</v>
      </c>
      <c r="L145">
        <f t="shared" si="16"/>
        <v>0</v>
      </c>
      <c r="M145" t="str">
        <f t="shared" si="17"/>
        <v>Emily</v>
      </c>
      <c r="N145">
        <f t="shared" si="18"/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27E75C-7AF4-4826-AA18-1D104E109278}">
  <dimension ref="A1:P19"/>
  <sheetViews>
    <sheetView workbookViewId="0">
      <selection activeCell="O9" sqref="O9"/>
    </sheetView>
  </sheetViews>
  <sheetFormatPr defaultRowHeight="14.5" x14ac:dyDescent="0.35"/>
  <sheetData>
    <row r="1" spans="1:16" x14ac:dyDescent="0.35">
      <c r="A1" t="s">
        <v>38</v>
      </c>
      <c r="B1" t="s">
        <v>39</v>
      </c>
      <c r="C1" t="s">
        <v>50</v>
      </c>
      <c r="D1" t="s">
        <v>51</v>
      </c>
      <c r="E1" t="s">
        <v>52</v>
      </c>
      <c r="F1" t="s">
        <v>53</v>
      </c>
      <c r="G1" t="s">
        <v>54</v>
      </c>
      <c r="H1" t="s">
        <v>55</v>
      </c>
      <c r="I1" t="s">
        <v>56</v>
      </c>
      <c r="J1" t="s">
        <v>57</v>
      </c>
      <c r="K1" t="s">
        <v>58</v>
      </c>
      <c r="L1" t="s">
        <v>59</v>
      </c>
      <c r="M1" t="s">
        <v>44</v>
      </c>
      <c r="N1" t="s">
        <v>43</v>
      </c>
      <c r="O1" t="s">
        <v>18</v>
      </c>
      <c r="P1" t="s">
        <v>25</v>
      </c>
    </row>
    <row r="2" spans="1:16" x14ac:dyDescent="0.35">
      <c r="A2">
        <v>1</v>
      </c>
      <c r="B2" t="s">
        <v>16</v>
      </c>
      <c r="C2">
        <v>65</v>
      </c>
      <c r="D2">
        <v>60</v>
      </c>
      <c r="E2">
        <v>40</v>
      </c>
      <c r="F2">
        <v>29</v>
      </c>
      <c r="G2">
        <v>0</v>
      </c>
      <c r="H2">
        <v>6</v>
      </c>
      <c r="I2">
        <v>10</v>
      </c>
      <c r="J2">
        <v>0</v>
      </c>
      <c r="K2">
        <v>3</v>
      </c>
      <c r="L2">
        <v>3</v>
      </c>
      <c r="M2">
        <f>C2+E2-G2+I2+(K2*4)</f>
        <v>127</v>
      </c>
      <c r="N2">
        <f>D2+F2-H2+J2+(L2*4)</f>
        <v>95</v>
      </c>
      <c r="O2" t="str">
        <f>IF(M2&gt;N2, "Emily", "Kathleen")</f>
        <v>Emily</v>
      </c>
      <c r="P2">
        <f>ABS(M2-N2)</f>
        <v>32</v>
      </c>
    </row>
    <row r="3" spans="1:16" x14ac:dyDescent="0.35">
      <c r="A3">
        <v>2</v>
      </c>
      <c r="B3" t="s">
        <v>17</v>
      </c>
      <c r="C3">
        <f>4+2+7+7+7+1+4+2+4+2+2+4+7+1+2</f>
        <v>56</v>
      </c>
      <c r="D3">
        <v>64</v>
      </c>
      <c r="E3">
        <v>42</v>
      </c>
      <c r="F3">
        <v>58</v>
      </c>
      <c r="G3">
        <v>8</v>
      </c>
      <c r="H3">
        <v>0</v>
      </c>
      <c r="I3">
        <v>0</v>
      </c>
      <c r="J3">
        <v>10</v>
      </c>
      <c r="K3">
        <v>3</v>
      </c>
      <c r="L3">
        <v>2</v>
      </c>
      <c r="M3">
        <f t="shared" ref="M3:M19" si="0">C3+E3-G3+I3+(K3*4)</f>
        <v>102</v>
      </c>
      <c r="N3">
        <f t="shared" ref="N3:N19" si="1">D3+F3-H3+J3+(L3*4)</f>
        <v>140</v>
      </c>
      <c r="O3" t="str">
        <f t="shared" ref="O3:O19" si="2">IF(M3&gt;N3, "Emily", "Kathleen")</f>
        <v>Kathleen</v>
      </c>
      <c r="P3">
        <f t="shared" ref="P3:P19" si="3">ABS(M3-N3)</f>
        <v>38</v>
      </c>
    </row>
    <row r="4" spans="1:16" x14ac:dyDescent="0.35">
      <c r="A4">
        <v>3</v>
      </c>
      <c r="B4" t="s">
        <v>16</v>
      </c>
      <c r="C4">
        <v>50</v>
      </c>
      <c r="D4">
        <v>75</v>
      </c>
      <c r="E4">
        <v>38</v>
      </c>
      <c r="F4">
        <v>36</v>
      </c>
      <c r="G4">
        <v>21</v>
      </c>
      <c r="H4">
        <v>0</v>
      </c>
      <c r="I4">
        <v>0</v>
      </c>
      <c r="J4">
        <v>10</v>
      </c>
      <c r="K4">
        <v>2</v>
      </c>
      <c r="L4">
        <v>3</v>
      </c>
      <c r="M4">
        <f t="shared" si="0"/>
        <v>75</v>
      </c>
      <c r="N4">
        <f t="shared" si="1"/>
        <v>133</v>
      </c>
      <c r="O4" t="str">
        <f t="shared" si="2"/>
        <v>Kathleen</v>
      </c>
      <c r="P4">
        <f t="shared" si="3"/>
        <v>58</v>
      </c>
    </row>
    <row r="5" spans="1:16" x14ac:dyDescent="0.35">
      <c r="A5">
        <v>4</v>
      </c>
      <c r="B5" t="s">
        <v>17</v>
      </c>
      <c r="C5">
        <v>54</v>
      </c>
      <c r="D5">
        <v>67</v>
      </c>
      <c r="E5">
        <v>50</v>
      </c>
      <c r="F5">
        <v>48</v>
      </c>
      <c r="G5">
        <v>0</v>
      </c>
      <c r="H5">
        <v>0</v>
      </c>
      <c r="I5">
        <v>0</v>
      </c>
      <c r="J5">
        <v>10</v>
      </c>
      <c r="K5">
        <v>3</v>
      </c>
      <c r="L5">
        <v>3</v>
      </c>
      <c r="M5">
        <f t="shared" si="0"/>
        <v>116</v>
      </c>
      <c r="N5">
        <f t="shared" si="1"/>
        <v>137</v>
      </c>
      <c r="O5" t="str">
        <f t="shared" si="2"/>
        <v>Kathleen</v>
      </c>
      <c r="P5">
        <f t="shared" si="3"/>
        <v>21</v>
      </c>
    </row>
    <row r="6" spans="1:16" x14ac:dyDescent="0.35">
      <c r="A6">
        <v>5</v>
      </c>
      <c r="B6" t="s">
        <v>16</v>
      </c>
      <c r="C6">
        <v>66</v>
      </c>
      <c r="D6">
        <v>78</v>
      </c>
      <c r="E6">
        <v>65</v>
      </c>
      <c r="F6">
        <v>41</v>
      </c>
      <c r="G6">
        <v>0</v>
      </c>
      <c r="H6">
        <v>0</v>
      </c>
      <c r="I6">
        <v>0</v>
      </c>
      <c r="J6">
        <v>10</v>
      </c>
      <c r="K6">
        <v>3</v>
      </c>
      <c r="L6">
        <v>3</v>
      </c>
      <c r="M6">
        <f t="shared" si="0"/>
        <v>143</v>
      </c>
      <c r="N6">
        <f t="shared" si="1"/>
        <v>141</v>
      </c>
      <c r="O6" t="str">
        <f t="shared" si="2"/>
        <v>Emily</v>
      </c>
      <c r="P6">
        <f t="shared" si="3"/>
        <v>2</v>
      </c>
    </row>
    <row r="7" spans="1:16" x14ac:dyDescent="0.35">
      <c r="A7">
        <v>6</v>
      </c>
      <c r="B7" t="s">
        <v>17</v>
      </c>
      <c r="C7">
        <v>77</v>
      </c>
      <c r="D7">
        <v>51</v>
      </c>
      <c r="E7">
        <v>49</v>
      </c>
      <c r="F7">
        <v>50</v>
      </c>
      <c r="G7">
        <v>9</v>
      </c>
      <c r="H7">
        <v>0</v>
      </c>
      <c r="I7">
        <v>10</v>
      </c>
      <c r="J7">
        <v>10</v>
      </c>
      <c r="K7">
        <v>3</v>
      </c>
      <c r="L7">
        <v>3</v>
      </c>
      <c r="M7">
        <f t="shared" si="0"/>
        <v>139</v>
      </c>
      <c r="N7">
        <f t="shared" si="1"/>
        <v>123</v>
      </c>
      <c r="O7" t="str">
        <f t="shared" si="2"/>
        <v>Emily</v>
      </c>
      <c r="P7">
        <f t="shared" si="3"/>
        <v>16</v>
      </c>
    </row>
    <row r="8" spans="1:16" x14ac:dyDescent="0.35">
      <c r="A8">
        <v>7</v>
      </c>
      <c r="B8" t="s">
        <v>16</v>
      </c>
      <c r="C8">
        <v>62</v>
      </c>
      <c r="D8">
        <v>62</v>
      </c>
      <c r="E8">
        <v>69</v>
      </c>
      <c r="F8">
        <v>36</v>
      </c>
      <c r="G8">
        <v>0</v>
      </c>
      <c r="H8">
        <v>0</v>
      </c>
      <c r="I8">
        <v>0</v>
      </c>
      <c r="J8">
        <v>10</v>
      </c>
      <c r="K8">
        <v>3</v>
      </c>
      <c r="L8">
        <v>3</v>
      </c>
      <c r="M8">
        <f t="shared" si="0"/>
        <v>143</v>
      </c>
      <c r="N8">
        <f t="shared" si="1"/>
        <v>120</v>
      </c>
      <c r="O8" t="str">
        <f t="shared" si="2"/>
        <v>Emily</v>
      </c>
      <c r="P8">
        <f t="shared" si="3"/>
        <v>23</v>
      </c>
    </row>
    <row r="9" spans="1:16" x14ac:dyDescent="0.35">
      <c r="A9">
        <v>8</v>
      </c>
      <c r="B9" t="s">
        <v>17</v>
      </c>
      <c r="C9">
        <v>54</v>
      </c>
      <c r="D9">
        <v>82</v>
      </c>
      <c r="E9">
        <v>54</v>
      </c>
      <c r="F9">
        <v>48</v>
      </c>
      <c r="G9">
        <v>5</v>
      </c>
      <c r="H9">
        <v>0</v>
      </c>
      <c r="I9">
        <v>10</v>
      </c>
      <c r="J9">
        <v>10</v>
      </c>
      <c r="K9">
        <v>3</v>
      </c>
      <c r="L9">
        <v>3</v>
      </c>
      <c r="M9">
        <f t="shared" si="0"/>
        <v>125</v>
      </c>
      <c r="N9">
        <f t="shared" si="1"/>
        <v>152</v>
      </c>
      <c r="O9" t="str">
        <f t="shared" si="2"/>
        <v>Kathleen</v>
      </c>
      <c r="P9">
        <f t="shared" si="3"/>
        <v>27</v>
      </c>
    </row>
    <row r="10" spans="1:16" x14ac:dyDescent="0.35">
      <c r="M10">
        <f t="shared" si="0"/>
        <v>0</v>
      </c>
      <c r="N10">
        <f t="shared" si="1"/>
        <v>0</v>
      </c>
      <c r="O10" t="str">
        <f t="shared" si="2"/>
        <v>Kathleen</v>
      </c>
      <c r="P10">
        <f t="shared" si="3"/>
        <v>0</v>
      </c>
    </row>
    <row r="11" spans="1:16" x14ac:dyDescent="0.35">
      <c r="M11">
        <f t="shared" si="0"/>
        <v>0</v>
      </c>
      <c r="N11">
        <f t="shared" si="1"/>
        <v>0</v>
      </c>
      <c r="O11" t="str">
        <f t="shared" si="2"/>
        <v>Kathleen</v>
      </c>
      <c r="P11">
        <f t="shared" si="3"/>
        <v>0</v>
      </c>
    </row>
    <row r="12" spans="1:16" x14ac:dyDescent="0.35">
      <c r="M12">
        <f t="shared" si="0"/>
        <v>0</v>
      </c>
      <c r="N12">
        <f t="shared" si="1"/>
        <v>0</v>
      </c>
      <c r="O12" t="str">
        <f t="shared" si="2"/>
        <v>Kathleen</v>
      </c>
      <c r="P12">
        <f t="shared" si="3"/>
        <v>0</v>
      </c>
    </row>
    <row r="13" spans="1:16" x14ac:dyDescent="0.35">
      <c r="M13">
        <f t="shared" si="0"/>
        <v>0</v>
      </c>
      <c r="N13">
        <f t="shared" si="1"/>
        <v>0</v>
      </c>
      <c r="O13" t="str">
        <f t="shared" si="2"/>
        <v>Kathleen</v>
      </c>
      <c r="P13">
        <f t="shared" si="3"/>
        <v>0</v>
      </c>
    </row>
    <row r="14" spans="1:16" x14ac:dyDescent="0.35">
      <c r="M14">
        <f t="shared" si="0"/>
        <v>0</v>
      </c>
      <c r="N14">
        <f t="shared" si="1"/>
        <v>0</v>
      </c>
      <c r="O14" t="str">
        <f t="shared" si="2"/>
        <v>Kathleen</v>
      </c>
      <c r="P14">
        <f t="shared" si="3"/>
        <v>0</v>
      </c>
    </row>
    <row r="15" spans="1:16" x14ac:dyDescent="0.35">
      <c r="M15">
        <f t="shared" si="0"/>
        <v>0</v>
      </c>
      <c r="N15">
        <f t="shared" si="1"/>
        <v>0</v>
      </c>
      <c r="O15" t="str">
        <f t="shared" si="2"/>
        <v>Kathleen</v>
      </c>
      <c r="P15">
        <f t="shared" si="3"/>
        <v>0</v>
      </c>
    </row>
    <row r="16" spans="1:16" x14ac:dyDescent="0.35">
      <c r="M16">
        <f t="shared" si="0"/>
        <v>0</v>
      </c>
      <c r="N16">
        <f t="shared" si="1"/>
        <v>0</v>
      </c>
      <c r="O16" t="str">
        <f t="shared" si="2"/>
        <v>Kathleen</v>
      </c>
      <c r="P16">
        <f t="shared" si="3"/>
        <v>0</v>
      </c>
    </row>
    <row r="17" spans="13:16" x14ac:dyDescent="0.35">
      <c r="M17">
        <f t="shared" si="0"/>
        <v>0</v>
      </c>
      <c r="N17">
        <f t="shared" si="1"/>
        <v>0</v>
      </c>
      <c r="O17" t="str">
        <f t="shared" si="2"/>
        <v>Kathleen</v>
      </c>
      <c r="P17">
        <f t="shared" si="3"/>
        <v>0</v>
      </c>
    </row>
    <row r="18" spans="13:16" x14ac:dyDescent="0.35">
      <c r="M18">
        <f t="shared" si="0"/>
        <v>0</v>
      </c>
      <c r="N18">
        <f t="shared" si="1"/>
        <v>0</v>
      </c>
      <c r="O18" t="str">
        <f t="shared" si="2"/>
        <v>Kathleen</v>
      </c>
      <c r="P18">
        <f t="shared" si="3"/>
        <v>0</v>
      </c>
    </row>
    <row r="19" spans="13:16" x14ac:dyDescent="0.35">
      <c r="M19">
        <f t="shared" si="0"/>
        <v>0</v>
      </c>
      <c r="N19">
        <f t="shared" si="1"/>
        <v>0</v>
      </c>
      <c r="O19" t="str">
        <f t="shared" si="2"/>
        <v>Kathleen</v>
      </c>
      <c r="P19">
        <f t="shared" si="3"/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27"/>
  <sheetViews>
    <sheetView workbookViewId="0">
      <selection activeCell="I20" sqref="I20"/>
    </sheetView>
  </sheetViews>
  <sheetFormatPr defaultRowHeight="14.5" x14ac:dyDescent="0.35"/>
  <sheetData>
    <row r="1" spans="1:20" x14ac:dyDescent="0.35">
      <c r="A1" s="1" t="s">
        <v>7</v>
      </c>
      <c r="B1" s="1" t="s">
        <v>15</v>
      </c>
      <c r="C1" s="1" t="s">
        <v>6</v>
      </c>
      <c r="D1" s="1" t="s">
        <v>14</v>
      </c>
      <c r="E1" s="1" t="s">
        <v>4</v>
      </c>
      <c r="F1" s="1" t="s">
        <v>12</v>
      </c>
      <c r="G1" s="1" t="s">
        <v>0</v>
      </c>
      <c r="H1" s="1" t="s">
        <v>8</v>
      </c>
      <c r="I1" s="1" t="s">
        <v>2</v>
      </c>
      <c r="J1" s="1" t="s">
        <v>10</v>
      </c>
      <c r="K1" s="1" t="s">
        <v>3</v>
      </c>
      <c r="L1" s="1" t="s">
        <v>11</v>
      </c>
      <c r="M1" s="1" t="s">
        <v>5</v>
      </c>
      <c r="N1" s="1" t="s">
        <v>13</v>
      </c>
      <c r="O1" s="1" t="s">
        <v>26</v>
      </c>
      <c r="P1" s="1" t="s">
        <v>27</v>
      </c>
      <c r="Q1" s="1" t="s">
        <v>16</v>
      </c>
      <c r="R1" s="1" t="s">
        <v>17</v>
      </c>
      <c r="S1" s="1" t="s">
        <v>18</v>
      </c>
      <c r="T1" s="1" t="s">
        <v>38</v>
      </c>
    </row>
    <row r="2" spans="1:20" x14ac:dyDescent="0.35">
      <c r="A2">
        <v>1</v>
      </c>
      <c r="B2">
        <v>13</v>
      </c>
      <c r="C2">
        <v>0</v>
      </c>
      <c r="D2">
        <v>1</v>
      </c>
      <c r="E2">
        <v>3</v>
      </c>
      <c r="F2">
        <v>10</v>
      </c>
      <c r="G2">
        <v>23</v>
      </c>
      <c r="H2">
        <v>14</v>
      </c>
      <c r="I2">
        <v>0</v>
      </c>
      <c r="J2">
        <v>2</v>
      </c>
      <c r="K2">
        <v>7</v>
      </c>
      <c r="L2">
        <v>0</v>
      </c>
      <c r="M2">
        <v>7</v>
      </c>
      <c r="N2">
        <v>5</v>
      </c>
      <c r="O2" t="s">
        <v>60</v>
      </c>
      <c r="P2" t="s">
        <v>60</v>
      </c>
      <c r="Q2">
        <f>SUM(G2,I2,K2,E2,M2,C2,A2)</f>
        <v>41</v>
      </c>
      <c r="R2">
        <f>SUM(H2,J2,L2,F2,N2,D2,B2)</f>
        <v>45</v>
      </c>
      <c r="S2" t="str">
        <f>IF(Q2&lt;R2, "Emily", "Kathleen")</f>
        <v>Emily</v>
      </c>
      <c r="T2">
        <v>1</v>
      </c>
    </row>
    <row r="3" spans="1:20" x14ac:dyDescent="0.35">
      <c r="A3">
        <v>15</v>
      </c>
      <c r="B3">
        <v>2</v>
      </c>
      <c r="C3">
        <v>1</v>
      </c>
      <c r="D3">
        <v>2</v>
      </c>
      <c r="E3">
        <v>10</v>
      </c>
      <c r="F3">
        <v>10</v>
      </c>
      <c r="G3">
        <v>23</v>
      </c>
      <c r="H3">
        <v>0</v>
      </c>
      <c r="I3">
        <v>0</v>
      </c>
      <c r="J3">
        <v>4</v>
      </c>
      <c r="K3">
        <v>0</v>
      </c>
      <c r="L3">
        <v>0</v>
      </c>
      <c r="M3">
        <v>1</v>
      </c>
      <c r="N3">
        <v>26</v>
      </c>
      <c r="O3" t="s">
        <v>60</v>
      </c>
      <c r="P3" t="s">
        <v>60</v>
      </c>
      <c r="Q3">
        <f t="shared" ref="Q3:Q27" si="0">SUM(G3,I3,K3,E3,M3,C3,A3)</f>
        <v>50</v>
      </c>
      <c r="R3">
        <f t="shared" ref="R3:R27" si="1">SUM(H3,J3,L3,F3,N3,D3,B3)</f>
        <v>44</v>
      </c>
      <c r="S3" t="str">
        <f t="shared" ref="S3:S27" si="2">IF(Q3&lt;R3, "Emily", "Kathleen")</f>
        <v>Kathleen</v>
      </c>
      <c r="T3">
        <v>2</v>
      </c>
    </row>
    <row r="4" spans="1:20" x14ac:dyDescent="0.35">
      <c r="A4">
        <v>0</v>
      </c>
      <c r="B4">
        <v>17</v>
      </c>
      <c r="C4">
        <v>0</v>
      </c>
      <c r="D4">
        <v>4</v>
      </c>
      <c r="E4">
        <v>3</v>
      </c>
      <c r="F4">
        <v>3</v>
      </c>
      <c r="G4">
        <v>34</v>
      </c>
      <c r="H4">
        <v>0</v>
      </c>
      <c r="I4">
        <v>0</v>
      </c>
      <c r="J4">
        <v>5</v>
      </c>
      <c r="K4">
        <v>0</v>
      </c>
      <c r="L4">
        <v>10</v>
      </c>
      <c r="M4">
        <v>0</v>
      </c>
      <c r="N4">
        <v>20</v>
      </c>
      <c r="O4" t="s">
        <v>60</v>
      </c>
      <c r="P4" t="s">
        <v>60</v>
      </c>
      <c r="Q4">
        <f t="shared" si="0"/>
        <v>37</v>
      </c>
      <c r="R4">
        <f t="shared" si="1"/>
        <v>59</v>
      </c>
      <c r="S4" t="str">
        <f t="shared" si="2"/>
        <v>Emily</v>
      </c>
      <c r="T4">
        <v>3</v>
      </c>
    </row>
    <row r="5" spans="1:20" x14ac:dyDescent="0.35">
      <c r="A5">
        <v>-3</v>
      </c>
      <c r="B5">
        <v>12</v>
      </c>
      <c r="C5">
        <v>1</v>
      </c>
      <c r="D5">
        <v>0</v>
      </c>
      <c r="E5">
        <v>3</v>
      </c>
      <c r="F5">
        <v>10</v>
      </c>
      <c r="G5">
        <v>19</v>
      </c>
      <c r="H5">
        <v>7</v>
      </c>
      <c r="I5">
        <v>0</v>
      </c>
      <c r="J5">
        <v>3</v>
      </c>
      <c r="K5">
        <v>6</v>
      </c>
      <c r="L5">
        <f>7+6+8</f>
        <v>21</v>
      </c>
      <c r="M5">
        <v>11</v>
      </c>
      <c r="N5">
        <v>1</v>
      </c>
      <c r="O5" t="s">
        <v>60</v>
      </c>
      <c r="P5" t="s">
        <v>60</v>
      </c>
      <c r="Q5">
        <f t="shared" si="0"/>
        <v>37</v>
      </c>
      <c r="R5">
        <f t="shared" si="1"/>
        <v>54</v>
      </c>
      <c r="S5" t="str">
        <f t="shared" si="2"/>
        <v>Emily</v>
      </c>
      <c r="T5">
        <v>4</v>
      </c>
    </row>
    <row r="6" spans="1:20" x14ac:dyDescent="0.35">
      <c r="A6">
        <v>2</v>
      </c>
      <c r="B6">
        <v>9</v>
      </c>
      <c r="C6">
        <v>0</v>
      </c>
      <c r="D6">
        <v>6</v>
      </c>
      <c r="E6">
        <v>13</v>
      </c>
      <c r="F6">
        <v>10</v>
      </c>
      <c r="G6">
        <v>15</v>
      </c>
      <c r="H6">
        <v>8</v>
      </c>
      <c r="I6">
        <v>0</v>
      </c>
      <c r="J6">
        <v>3</v>
      </c>
      <c r="K6">
        <v>8</v>
      </c>
      <c r="L6">
        <v>0</v>
      </c>
      <c r="M6">
        <v>7</v>
      </c>
      <c r="N6">
        <f>14+9+8</f>
        <v>31</v>
      </c>
      <c r="O6" t="s">
        <v>60</v>
      </c>
      <c r="P6" t="s">
        <v>60</v>
      </c>
      <c r="Q6">
        <f t="shared" si="0"/>
        <v>45</v>
      </c>
      <c r="R6">
        <f t="shared" si="1"/>
        <v>67</v>
      </c>
      <c r="S6" t="str">
        <f t="shared" si="2"/>
        <v>Emily</v>
      </c>
      <c r="T6">
        <v>5</v>
      </c>
    </row>
    <row r="7" spans="1:20" x14ac:dyDescent="0.35">
      <c r="A7">
        <v>0</v>
      </c>
      <c r="B7">
        <v>0</v>
      </c>
      <c r="C7">
        <v>3</v>
      </c>
      <c r="D7">
        <v>6</v>
      </c>
      <c r="E7">
        <v>11</v>
      </c>
      <c r="F7">
        <v>5</v>
      </c>
      <c r="G7">
        <v>27</v>
      </c>
      <c r="H7">
        <v>15</v>
      </c>
      <c r="I7">
        <v>6</v>
      </c>
      <c r="J7">
        <v>5</v>
      </c>
      <c r="K7">
        <v>2</v>
      </c>
      <c r="L7">
        <v>6</v>
      </c>
      <c r="M7">
        <v>1</v>
      </c>
      <c r="N7">
        <v>7</v>
      </c>
      <c r="O7" t="s">
        <v>60</v>
      </c>
      <c r="P7" t="s">
        <v>17</v>
      </c>
      <c r="Q7">
        <f t="shared" si="0"/>
        <v>50</v>
      </c>
      <c r="R7">
        <f t="shared" si="1"/>
        <v>44</v>
      </c>
      <c r="S7" t="str">
        <f t="shared" si="2"/>
        <v>Kathleen</v>
      </c>
      <c r="T7">
        <v>6</v>
      </c>
    </row>
    <row r="8" spans="1:20" x14ac:dyDescent="0.35">
      <c r="A8">
        <v>-3</v>
      </c>
      <c r="B8">
        <v>8</v>
      </c>
      <c r="C8">
        <v>2</v>
      </c>
      <c r="D8">
        <v>1</v>
      </c>
      <c r="E8">
        <v>0</v>
      </c>
      <c r="F8">
        <v>10</v>
      </c>
      <c r="G8">
        <v>34</v>
      </c>
      <c r="H8">
        <v>7</v>
      </c>
      <c r="I8">
        <v>0</v>
      </c>
      <c r="J8">
        <v>0</v>
      </c>
      <c r="K8">
        <v>0</v>
      </c>
      <c r="L8">
        <v>0</v>
      </c>
      <c r="M8">
        <v>18</v>
      </c>
      <c r="N8">
        <v>21</v>
      </c>
      <c r="O8" t="s">
        <v>60</v>
      </c>
      <c r="P8" t="s">
        <v>60</v>
      </c>
      <c r="Q8">
        <f>SUM(G8,I8,K8,C8,M8,A8,E8)</f>
        <v>51</v>
      </c>
      <c r="R8">
        <f t="shared" si="1"/>
        <v>47</v>
      </c>
      <c r="S8" t="str">
        <f t="shared" si="2"/>
        <v>Kathleen</v>
      </c>
      <c r="T8">
        <v>7</v>
      </c>
    </row>
    <row r="9" spans="1:20" x14ac:dyDescent="0.35">
      <c r="A9">
        <v>11</v>
      </c>
      <c r="B9">
        <v>10</v>
      </c>
      <c r="C9">
        <v>0</v>
      </c>
      <c r="D9">
        <v>1</v>
      </c>
      <c r="E9">
        <v>0</v>
      </c>
      <c r="F9">
        <v>10</v>
      </c>
      <c r="G9">
        <v>17</v>
      </c>
      <c r="H9">
        <v>23</v>
      </c>
      <c r="I9">
        <v>0</v>
      </c>
      <c r="J9">
        <v>0</v>
      </c>
      <c r="K9">
        <v>5</v>
      </c>
      <c r="L9">
        <v>8</v>
      </c>
      <c r="M9">
        <v>13</v>
      </c>
      <c r="N9">
        <v>4</v>
      </c>
      <c r="O9" t="s">
        <v>60</v>
      </c>
      <c r="P9" t="s">
        <v>60</v>
      </c>
      <c r="Q9">
        <f t="shared" si="0"/>
        <v>46</v>
      </c>
      <c r="R9">
        <f t="shared" si="1"/>
        <v>56</v>
      </c>
      <c r="S9" t="str">
        <f t="shared" si="2"/>
        <v>Emily</v>
      </c>
      <c r="T9">
        <v>8</v>
      </c>
    </row>
    <row r="10" spans="1:20" x14ac:dyDescent="0.35">
      <c r="Q10">
        <f t="shared" si="0"/>
        <v>0</v>
      </c>
      <c r="R10">
        <f t="shared" si="1"/>
        <v>0</v>
      </c>
      <c r="S10" t="str">
        <f t="shared" si="2"/>
        <v>Kathleen</v>
      </c>
    </row>
    <row r="11" spans="1:20" x14ac:dyDescent="0.35">
      <c r="Q11">
        <f t="shared" si="0"/>
        <v>0</v>
      </c>
      <c r="R11">
        <f t="shared" si="1"/>
        <v>0</v>
      </c>
      <c r="S11" t="str">
        <f t="shared" si="2"/>
        <v>Kathleen</v>
      </c>
    </row>
    <row r="12" spans="1:20" x14ac:dyDescent="0.35">
      <c r="Q12">
        <f t="shared" si="0"/>
        <v>0</v>
      </c>
      <c r="R12">
        <f t="shared" si="1"/>
        <v>0</v>
      </c>
      <c r="S12" t="str">
        <f t="shared" si="2"/>
        <v>Kathleen</v>
      </c>
    </row>
    <row r="13" spans="1:20" x14ac:dyDescent="0.35">
      <c r="Q13">
        <f t="shared" si="0"/>
        <v>0</v>
      </c>
      <c r="R13">
        <f t="shared" si="1"/>
        <v>0</v>
      </c>
      <c r="S13" t="str">
        <f t="shared" si="2"/>
        <v>Kathleen</v>
      </c>
    </row>
    <row r="14" spans="1:20" x14ac:dyDescent="0.35">
      <c r="Q14">
        <f t="shared" si="0"/>
        <v>0</v>
      </c>
      <c r="R14">
        <f t="shared" si="1"/>
        <v>0</v>
      </c>
      <c r="S14" t="str">
        <f t="shared" si="2"/>
        <v>Kathleen</v>
      </c>
    </row>
    <row r="15" spans="1:20" x14ac:dyDescent="0.35">
      <c r="Q15">
        <f t="shared" si="0"/>
        <v>0</v>
      </c>
      <c r="R15">
        <f t="shared" si="1"/>
        <v>0</v>
      </c>
      <c r="S15" t="str">
        <f t="shared" si="2"/>
        <v>Kathleen</v>
      </c>
    </row>
    <row r="16" spans="1:20" x14ac:dyDescent="0.35">
      <c r="Q16">
        <f t="shared" si="0"/>
        <v>0</v>
      </c>
      <c r="R16">
        <f t="shared" si="1"/>
        <v>0</v>
      </c>
      <c r="S16" t="str">
        <f t="shared" si="2"/>
        <v>Kathleen</v>
      </c>
    </row>
    <row r="17" spans="17:19" x14ac:dyDescent="0.35">
      <c r="Q17">
        <f t="shared" si="0"/>
        <v>0</v>
      </c>
      <c r="R17">
        <f t="shared" si="1"/>
        <v>0</v>
      </c>
      <c r="S17" t="str">
        <f t="shared" si="2"/>
        <v>Kathleen</v>
      </c>
    </row>
    <row r="18" spans="17:19" x14ac:dyDescent="0.35">
      <c r="Q18">
        <f t="shared" si="0"/>
        <v>0</v>
      </c>
      <c r="R18">
        <f t="shared" si="1"/>
        <v>0</v>
      </c>
      <c r="S18" t="str">
        <f t="shared" si="2"/>
        <v>Kathleen</v>
      </c>
    </row>
    <row r="19" spans="17:19" x14ac:dyDescent="0.35">
      <c r="Q19">
        <f t="shared" si="0"/>
        <v>0</v>
      </c>
      <c r="R19">
        <f t="shared" si="1"/>
        <v>0</v>
      </c>
      <c r="S19" t="str">
        <f t="shared" si="2"/>
        <v>Kathleen</v>
      </c>
    </row>
    <row r="20" spans="17:19" x14ac:dyDescent="0.35">
      <c r="Q20">
        <f t="shared" si="0"/>
        <v>0</v>
      </c>
      <c r="R20">
        <f t="shared" si="1"/>
        <v>0</v>
      </c>
      <c r="S20" t="str">
        <f t="shared" si="2"/>
        <v>Kathleen</v>
      </c>
    </row>
    <row r="21" spans="17:19" x14ac:dyDescent="0.35">
      <c r="Q21">
        <f t="shared" si="0"/>
        <v>0</v>
      </c>
      <c r="R21">
        <f t="shared" si="1"/>
        <v>0</v>
      </c>
      <c r="S21" t="str">
        <f t="shared" si="2"/>
        <v>Kathleen</v>
      </c>
    </row>
    <row r="22" spans="17:19" x14ac:dyDescent="0.35">
      <c r="Q22">
        <f t="shared" si="0"/>
        <v>0</v>
      </c>
      <c r="R22">
        <f t="shared" si="1"/>
        <v>0</v>
      </c>
      <c r="S22" t="str">
        <f t="shared" si="2"/>
        <v>Kathleen</v>
      </c>
    </row>
    <row r="23" spans="17:19" x14ac:dyDescent="0.35">
      <c r="Q23">
        <f t="shared" si="0"/>
        <v>0</v>
      </c>
      <c r="R23">
        <f t="shared" si="1"/>
        <v>0</v>
      </c>
      <c r="S23" t="str">
        <f t="shared" si="2"/>
        <v>Kathleen</v>
      </c>
    </row>
    <row r="24" spans="17:19" x14ac:dyDescent="0.35">
      <c r="Q24">
        <f t="shared" si="0"/>
        <v>0</v>
      </c>
      <c r="R24">
        <f t="shared" si="1"/>
        <v>0</v>
      </c>
      <c r="S24" t="str">
        <f t="shared" si="2"/>
        <v>Kathleen</v>
      </c>
    </row>
    <row r="25" spans="17:19" x14ac:dyDescent="0.35">
      <c r="Q25">
        <f t="shared" si="0"/>
        <v>0</v>
      </c>
      <c r="R25">
        <f t="shared" si="1"/>
        <v>0</v>
      </c>
      <c r="S25" t="str">
        <f t="shared" si="2"/>
        <v>Kathleen</v>
      </c>
    </row>
    <row r="26" spans="17:19" x14ac:dyDescent="0.35">
      <c r="Q26">
        <f t="shared" si="0"/>
        <v>0</v>
      </c>
      <c r="R26">
        <f t="shared" si="1"/>
        <v>0</v>
      </c>
      <c r="S26" t="str">
        <f t="shared" si="2"/>
        <v>Kathleen</v>
      </c>
    </row>
    <row r="27" spans="17:19" x14ac:dyDescent="0.35">
      <c r="Q27">
        <f t="shared" si="0"/>
        <v>0</v>
      </c>
      <c r="R27">
        <f t="shared" si="1"/>
        <v>0</v>
      </c>
      <c r="S27" t="str">
        <f t="shared" si="2"/>
        <v>Kathleen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72"/>
  <sheetViews>
    <sheetView zoomScale="79" zoomScaleNormal="70" workbookViewId="0">
      <pane ySplit="1" topLeftCell="A2" activePane="bottomLeft" state="frozen"/>
      <selection pane="bottomLeft" activeCell="L42" sqref="L42"/>
    </sheetView>
  </sheetViews>
  <sheetFormatPr defaultRowHeight="14.5" x14ac:dyDescent="0.35"/>
  <cols>
    <col min="11" max="11" width="13.54296875" customWidth="1"/>
  </cols>
  <sheetData>
    <row r="1" spans="1:12" x14ac:dyDescent="0.35">
      <c r="A1" t="s">
        <v>38</v>
      </c>
      <c r="B1" t="s">
        <v>19</v>
      </c>
      <c r="C1" t="s">
        <v>20</v>
      </c>
      <c r="D1" t="s">
        <v>22</v>
      </c>
      <c r="E1" t="s">
        <v>21</v>
      </c>
      <c r="F1" t="s">
        <v>23</v>
      </c>
      <c r="G1" t="s">
        <v>24</v>
      </c>
      <c r="H1" t="s">
        <v>36</v>
      </c>
      <c r="I1" t="s">
        <v>37</v>
      </c>
      <c r="J1" t="s">
        <v>25</v>
      </c>
      <c r="K1" t="s">
        <v>18</v>
      </c>
      <c r="L1" t="s">
        <v>39</v>
      </c>
    </row>
    <row r="2" spans="1:12" x14ac:dyDescent="0.35">
      <c r="A2">
        <v>1</v>
      </c>
      <c r="B2">
        <v>12</v>
      </c>
      <c r="C2">
        <v>36</v>
      </c>
      <c r="D2">
        <v>9</v>
      </c>
      <c r="E2">
        <v>8</v>
      </c>
      <c r="F2">
        <v>0</v>
      </c>
      <c r="G2">
        <v>7</v>
      </c>
      <c r="H2">
        <f t="shared" ref="H2:H31" si="0">C2-(E2*2)+G2</f>
        <v>27</v>
      </c>
      <c r="I2">
        <f t="shared" ref="I2:I31" si="1">B2-(D2*2)+F2</f>
        <v>-6</v>
      </c>
      <c r="J2">
        <f>ABS(H2-I2)</f>
        <v>33</v>
      </c>
      <c r="K2" t="str">
        <f t="shared" ref="K2:K65" si="2">IF(H2&gt;I2, "Emily", "Kathleen")</f>
        <v>Emily</v>
      </c>
      <c r="L2" t="s">
        <v>17</v>
      </c>
    </row>
    <row r="3" spans="1:12" x14ac:dyDescent="0.35">
      <c r="A3">
        <v>2</v>
      </c>
      <c r="B3">
        <v>38</v>
      </c>
      <c r="C3">
        <v>23</v>
      </c>
      <c r="D3">
        <v>13</v>
      </c>
      <c r="E3">
        <v>9</v>
      </c>
      <c r="F3">
        <v>7</v>
      </c>
      <c r="G3">
        <v>0</v>
      </c>
      <c r="H3">
        <f t="shared" si="0"/>
        <v>5</v>
      </c>
      <c r="I3">
        <f t="shared" si="1"/>
        <v>19</v>
      </c>
      <c r="J3">
        <f t="shared" ref="J3:J31" si="3">ABS(H3-I3)</f>
        <v>14</v>
      </c>
      <c r="K3" t="str">
        <f t="shared" si="2"/>
        <v>Kathleen</v>
      </c>
      <c r="L3" t="s">
        <v>16</v>
      </c>
    </row>
    <row r="4" spans="1:12" x14ac:dyDescent="0.35">
      <c r="A4">
        <v>3</v>
      </c>
      <c r="B4">
        <v>37</v>
      </c>
      <c r="C4">
        <v>24</v>
      </c>
      <c r="D4">
        <v>11</v>
      </c>
      <c r="E4">
        <v>6</v>
      </c>
      <c r="F4">
        <v>0</v>
      </c>
      <c r="G4">
        <v>7</v>
      </c>
      <c r="H4">
        <f t="shared" si="0"/>
        <v>19</v>
      </c>
      <c r="I4">
        <f t="shared" si="1"/>
        <v>15</v>
      </c>
      <c r="J4">
        <f t="shared" si="3"/>
        <v>4</v>
      </c>
      <c r="K4" t="str">
        <f t="shared" si="2"/>
        <v>Emily</v>
      </c>
      <c r="L4" t="s">
        <v>17</v>
      </c>
    </row>
    <row r="5" spans="1:12" x14ac:dyDescent="0.35">
      <c r="A5">
        <v>4</v>
      </c>
      <c r="B5">
        <v>43</v>
      </c>
      <c r="C5">
        <v>18</v>
      </c>
      <c r="D5">
        <v>4</v>
      </c>
      <c r="E5">
        <v>9</v>
      </c>
      <c r="F5">
        <v>0</v>
      </c>
      <c r="G5">
        <v>7</v>
      </c>
      <c r="H5">
        <f t="shared" si="0"/>
        <v>7</v>
      </c>
      <c r="I5">
        <f t="shared" si="1"/>
        <v>35</v>
      </c>
      <c r="J5">
        <f t="shared" si="3"/>
        <v>28</v>
      </c>
      <c r="K5" t="str">
        <f t="shared" si="2"/>
        <v>Kathleen</v>
      </c>
      <c r="L5" t="s">
        <v>16</v>
      </c>
    </row>
    <row r="6" spans="1:12" x14ac:dyDescent="0.35">
      <c r="A6">
        <v>5</v>
      </c>
      <c r="B6">
        <v>23</v>
      </c>
      <c r="C6">
        <v>18</v>
      </c>
      <c r="D6">
        <v>9</v>
      </c>
      <c r="E6">
        <v>17</v>
      </c>
      <c r="F6">
        <v>7</v>
      </c>
      <c r="G6">
        <v>0</v>
      </c>
      <c r="H6">
        <f t="shared" si="0"/>
        <v>-16</v>
      </c>
      <c r="I6">
        <f t="shared" si="1"/>
        <v>12</v>
      </c>
      <c r="J6">
        <f t="shared" si="3"/>
        <v>28</v>
      </c>
      <c r="K6" t="str">
        <f t="shared" si="2"/>
        <v>Kathleen</v>
      </c>
      <c r="L6" t="s">
        <v>17</v>
      </c>
    </row>
    <row r="7" spans="1:12" x14ac:dyDescent="0.35">
      <c r="A7">
        <v>6</v>
      </c>
      <c r="B7">
        <v>24</v>
      </c>
      <c r="C7">
        <v>13</v>
      </c>
      <c r="D7">
        <v>7</v>
      </c>
      <c r="E7">
        <v>16</v>
      </c>
      <c r="F7">
        <v>7</v>
      </c>
      <c r="G7">
        <v>0</v>
      </c>
      <c r="H7">
        <f t="shared" si="0"/>
        <v>-19</v>
      </c>
      <c r="I7">
        <f t="shared" si="1"/>
        <v>17</v>
      </c>
      <c r="J7">
        <f t="shared" si="3"/>
        <v>36</v>
      </c>
      <c r="K7" t="str">
        <f t="shared" si="2"/>
        <v>Kathleen</v>
      </c>
      <c r="L7" t="s">
        <v>16</v>
      </c>
    </row>
    <row r="8" spans="1:12" x14ac:dyDescent="0.35">
      <c r="A8">
        <v>7</v>
      </c>
      <c r="B8">
        <v>14</v>
      </c>
      <c r="C8">
        <v>21</v>
      </c>
      <c r="D8">
        <v>4</v>
      </c>
      <c r="E8">
        <v>20</v>
      </c>
      <c r="F8">
        <v>7</v>
      </c>
      <c r="G8">
        <v>0</v>
      </c>
      <c r="H8">
        <f t="shared" si="0"/>
        <v>-19</v>
      </c>
      <c r="I8">
        <f t="shared" si="1"/>
        <v>13</v>
      </c>
      <c r="J8">
        <f t="shared" si="3"/>
        <v>32</v>
      </c>
      <c r="K8" t="str">
        <f t="shared" si="2"/>
        <v>Kathleen</v>
      </c>
      <c r="L8" t="s">
        <v>17</v>
      </c>
    </row>
    <row r="9" spans="1:12" x14ac:dyDescent="0.35">
      <c r="A9">
        <v>8</v>
      </c>
      <c r="B9">
        <v>16</v>
      </c>
      <c r="C9">
        <v>28</v>
      </c>
      <c r="D9">
        <v>20</v>
      </c>
      <c r="E9">
        <v>9</v>
      </c>
      <c r="F9">
        <v>0</v>
      </c>
      <c r="G9">
        <v>7</v>
      </c>
      <c r="H9">
        <f t="shared" si="0"/>
        <v>17</v>
      </c>
      <c r="I9">
        <f t="shared" si="1"/>
        <v>-24</v>
      </c>
      <c r="J9">
        <f t="shared" si="3"/>
        <v>41</v>
      </c>
      <c r="K9" t="str">
        <f t="shared" si="2"/>
        <v>Emily</v>
      </c>
      <c r="L9" t="s">
        <v>16</v>
      </c>
    </row>
    <row r="10" spans="1:12" x14ac:dyDescent="0.35">
      <c r="A10">
        <v>9</v>
      </c>
      <c r="B10">
        <v>25</v>
      </c>
      <c r="C10">
        <v>27</v>
      </c>
      <c r="D10">
        <v>5</v>
      </c>
      <c r="E10">
        <v>9</v>
      </c>
      <c r="F10">
        <v>7</v>
      </c>
      <c r="G10">
        <v>0</v>
      </c>
      <c r="H10">
        <f t="shared" si="0"/>
        <v>9</v>
      </c>
      <c r="I10">
        <f t="shared" si="1"/>
        <v>22</v>
      </c>
      <c r="J10">
        <f t="shared" si="3"/>
        <v>13</v>
      </c>
      <c r="K10" t="str">
        <f t="shared" si="2"/>
        <v>Kathleen</v>
      </c>
      <c r="L10" t="s">
        <v>17</v>
      </c>
    </row>
    <row r="11" spans="1:12" x14ac:dyDescent="0.35">
      <c r="A11">
        <v>10</v>
      </c>
      <c r="B11">
        <v>11</v>
      </c>
      <c r="C11">
        <v>49</v>
      </c>
      <c r="D11">
        <v>8</v>
      </c>
      <c r="E11">
        <v>4</v>
      </c>
      <c r="F11">
        <v>0</v>
      </c>
      <c r="G11">
        <v>7</v>
      </c>
      <c r="H11">
        <f t="shared" si="0"/>
        <v>48</v>
      </c>
      <c r="I11">
        <f t="shared" si="1"/>
        <v>-5</v>
      </c>
      <c r="J11">
        <f t="shared" si="3"/>
        <v>53</v>
      </c>
      <c r="K11" t="str">
        <f t="shared" si="2"/>
        <v>Emily</v>
      </c>
      <c r="L11" t="s">
        <v>16</v>
      </c>
    </row>
    <row r="12" spans="1:12" x14ac:dyDescent="0.35">
      <c r="A12">
        <v>11</v>
      </c>
      <c r="B12">
        <v>16</v>
      </c>
      <c r="C12">
        <v>20</v>
      </c>
      <c r="D12">
        <v>3</v>
      </c>
      <c r="E12">
        <v>10</v>
      </c>
      <c r="F12">
        <v>7</v>
      </c>
      <c r="G12">
        <v>0</v>
      </c>
      <c r="H12">
        <f t="shared" si="0"/>
        <v>0</v>
      </c>
      <c r="I12">
        <f t="shared" si="1"/>
        <v>17</v>
      </c>
      <c r="J12">
        <f t="shared" si="3"/>
        <v>17</v>
      </c>
      <c r="K12" t="str">
        <f t="shared" si="2"/>
        <v>Kathleen</v>
      </c>
      <c r="L12" t="s">
        <v>17</v>
      </c>
    </row>
    <row r="13" spans="1:12" x14ac:dyDescent="0.35">
      <c r="A13">
        <v>12</v>
      </c>
      <c r="B13">
        <v>21</v>
      </c>
      <c r="C13">
        <v>21</v>
      </c>
      <c r="D13">
        <v>9</v>
      </c>
      <c r="E13">
        <v>6</v>
      </c>
      <c r="F13">
        <v>7</v>
      </c>
      <c r="G13">
        <v>0</v>
      </c>
      <c r="H13">
        <f t="shared" si="0"/>
        <v>9</v>
      </c>
      <c r="I13">
        <f t="shared" si="1"/>
        <v>10</v>
      </c>
      <c r="J13">
        <f t="shared" si="3"/>
        <v>1</v>
      </c>
      <c r="K13" t="str">
        <f t="shared" si="2"/>
        <v>Kathleen</v>
      </c>
      <c r="L13" t="s">
        <v>16</v>
      </c>
    </row>
    <row r="14" spans="1:12" x14ac:dyDescent="0.35">
      <c r="A14">
        <v>13</v>
      </c>
      <c r="B14">
        <v>14</v>
      </c>
      <c r="C14">
        <v>39</v>
      </c>
      <c r="D14">
        <v>2</v>
      </c>
      <c r="E14">
        <v>8</v>
      </c>
      <c r="F14">
        <v>7</v>
      </c>
      <c r="G14">
        <v>0</v>
      </c>
      <c r="H14">
        <f t="shared" si="0"/>
        <v>23</v>
      </c>
      <c r="I14">
        <f t="shared" si="1"/>
        <v>17</v>
      </c>
      <c r="J14">
        <f t="shared" si="3"/>
        <v>6</v>
      </c>
      <c r="K14" t="str">
        <f t="shared" si="2"/>
        <v>Emily</v>
      </c>
      <c r="L14" t="s">
        <v>16</v>
      </c>
    </row>
    <row r="15" spans="1:12" x14ac:dyDescent="0.35">
      <c r="A15">
        <v>14</v>
      </c>
      <c r="B15">
        <v>12</v>
      </c>
      <c r="C15">
        <v>33</v>
      </c>
      <c r="D15">
        <v>19</v>
      </c>
      <c r="E15">
        <v>9</v>
      </c>
      <c r="F15">
        <v>0</v>
      </c>
      <c r="G15">
        <v>7</v>
      </c>
      <c r="H15">
        <f t="shared" si="0"/>
        <v>22</v>
      </c>
      <c r="I15">
        <f t="shared" si="1"/>
        <v>-26</v>
      </c>
      <c r="J15">
        <f t="shared" si="3"/>
        <v>48</v>
      </c>
      <c r="K15" t="str">
        <f t="shared" si="2"/>
        <v>Emily</v>
      </c>
      <c r="L15" t="s">
        <v>17</v>
      </c>
    </row>
    <row r="16" spans="1:12" x14ac:dyDescent="0.35">
      <c r="A16">
        <v>15</v>
      </c>
      <c r="B16">
        <v>18</v>
      </c>
      <c r="C16">
        <v>19</v>
      </c>
      <c r="D16">
        <v>11</v>
      </c>
      <c r="E16">
        <v>8</v>
      </c>
      <c r="F16">
        <v>0</v>
      </c>
      <c r="G16">
        <v>7</v>
      </c>
      <c r="H16">
        <f t="shared" si="0"/>
        <v>10</v>
      </c>
      <c r="I16">
        <f t="shared" si="1"/>
        <v>-4</v>
      </c>
      <c r="J16">
        <f t="shared" si="3"/>
        <v>14</v>
      </c>
      <c r="K16" t="str">
        <f t="shared" si="2"/>
        <v>Emily</v>
      </c>
      <c r="L16" t="s">
        <v>16</v>
      </c>
    </row>
    <row r="17" spans="1:12" x14ac:dyDescent="0.35">
      <c r="A17">
        <v>16</v>
      </c>
      <c r="B17">
        <v>15</v>
      </c>
      <c r="C17">
        <v>27</v>
      </c>
      <c r="D17">
        <v>19</v>
      </c>
      <c r="E17">
        <v>10</v>
      </c>
      <c r="F17">
        <v>0</v>
      </c>
      <c r="G17">
        <v>7</v>
      </c>
      <c r="H17">
        <f t="shared" si="0"/>
        <v>14</v>
      </c>
      <c r="I17">
        <f t="shared" si="1"/>
        <v>-23</v>
      </c>
      <c r="J17">
        <f t="shared" si="3"/>
        <v>37</v>
      </c>
      <c r="K17" t="str">
        <f t="shared" si="2"/>
        <v>Emily</v>
      </c>
      <c r="L17" t="s">
        <v>16</v>
      </c>
    </row>
    <row r="18" spans="1:12" x14ac:dyDescent="0.35">
      <c r="A18">
        <v>17</v>
      </c>
      <c r="B18">
        <v>20</v>
      </c>
      <c r="C18">
        <v>25</v>
      </c>
      <c r="D18">
        <v>14</v>
      </c>
      <c r="E18">
        <v>9</v>
      </c>
      <c r="F18">
        <v>0</v>
      </c>
      <c r="G18">
        <v>7</v>
      </c>
      <c r="H18">
        <f t="shared" si="0"/>
        <v>14</v>
      </c>
      <c r="I18">
        <f t="shared" si="1"/>
        <v>-8</v>
      </c>
      <c r="J18">
        <f t="shared" si="3"/>
        <v>22</v>
      </c>
      <c r="K18" t="str">
        <f t="shared" si="2"/>
        <v>Emily</v>
      </c>
      <c r="L18" t="s">
        <v>16</v>
      </c>
    </row>
    <row r="19" spans="1:12" x14ac:dyDescent="0.35">
      <c r="A19">
        <v>18</v>
      </c>
      <c r="B19">
        <v>18</v>
      </c>
      <c r="C19">
        <v>31</v>
      </c>
      <c r="D19">
        <v>12</v>
      </c>
      <c r="E19">
        <v>11</v>
      </c>
      <c r="F19">
        <v>0</v>
      </c>
      <c r="G19">
        <v>7</v>
      </c>
      <c r="H19">
        <f t="shared" si="0"/>
        <v>16</v>
      </c>
      <c r="I19">
        <f t="shared" si="1"/>
        <v>-6</v>
      </c>
      <c r="J19">
        <f t="shared" si="3"/>
        <v>22</v>
      </c>
      <c r="K19" t="str">
        <f t="shared" si="2"/>
        <v>Emily</v>
      </c>
      <c r="L19" t="s">
        <v>17</v>
      </c>
    </row>
    <row r="20" spans="1:12" x14ac:dyDescent="0.35">
      <c r="A20">
        <v>19</v>
      </c>
      <c r="B20">
        <v>15</v>
      </c>
      <c r="C20">
        <v>12</v>
      </c>
      <c r="D20">
        <v>11</v>
      </c>
      <c r="E20">
        <v>9</v>
      </c>
      <c r="F20">
        <v>7</v>
      </c>
      <c r="G20">
        <v>0</v>
      </c>
      <c r="H20">
        <f t="shared" si="0"/>
        <v>-6</v>
      </c>
      <c r="I20">
        <f t="shared" si="1"/>
        <v>0</v>
      </c>
      <c r="J20">
        <f t="shared" si="3"/>
        <v>6</v>
      </c>
      <c r="K20" t="str">
        <f t="shared" si="2"/>
        <v>Kathleen</v>
      </c>
      <c r="L20" t="s">
        <v>16</v>
      </c>
    </row>
    <row r="21" spans="1:12" x14ac:dyDescent="0.35">
      <c r="A21">
        <v>20</v>
      </c>
      <c r="B21">
        <v>26</v>
      </c>
      <c r="C21">
        <v>33</v>
      </c>
      <c r="D21">
        <v>12</v>
      </c>
      <c r="E21">
        <v>15</v>
      </c>
      <c r="F21">
        <v>7</v>
      </c>
      <c r="G21">
        <v>0</v>
      </c>
      <c r="H21">
        <f t="shared" si="0"/>
        <v>3</v>
      </c>
      <c r="I21">
        <f t="shared" si="1"/>
        <v>9</v>
      </c>
      <c r="J21">
        <f t="shared" si="3"/>
        <v>6</v>
      </c>
      <c r="K21" t="str">
        <f t="shared" si="2"/>
        <v>Kathleen</v>
      </c>
      <c r="L21" t="s">
        <v>16</v>
      </c>
    </row>
    <row r="22" spans="1:12" x14ac:dyDescent="0.35">
      <c r="A22">
        <v>21</v>
      </c>
      <c r="B22">
        <v>10</v>
      </c>
      <c r="C22">
        <v>33</v>
      </c>
      <c r="D22">
        <v>11</v>
      </c>
      <c r="E22">
        <v>8</v>
      </c>
      <c r="F22">
        <v>7</v>
      </c>
      <c r="G22">
        <v>0</v>
      </c>
      <c r="H22">
        <f t="shared" si="0"/>
        <v>17</v>
      </c>
      <c r="I22">
        <f t="shared" si="1"/>
        <v>-5</v>
      </c>
      <c r="J22">
        <f t="shared" si="3"/>
        <v>22</v>
      </c>
      <c r="K22" t="str">
        <f t="shared" si="2"/>
        <v>Emily</v>
      </c>
      <c r="L22" t="s">
        <v>17</v>
      </c>
    </row>
    <row r="23" spans="1:12" x14ac:dyDescent="0.35">
      <c r="A23">
        <v>22</v>
      </c>
      <c r="B23">
        <v>8</v>
      </c>
      <c r="C23">
        <v>29</v>
      </c>
      <c r="D23">
        <v>15</v>
      </c>
      <c r="E23">
        <v>8</v>
      </c>
      <c r="F23">
        <v>0</v>
      </c>
      <c r="G23">
        <v>7</v>
      </c>
      <c r="H23">
        <f t="shared" si="0"/>
        <v>20</v>
      </c>
      <c r="I23">
        <f t="shared" si="1"/>
        <v>-22</v>
      </c>
      <c r="J23">
        <f t="shared" si="3"/>
        <v>42</v>
      </c>
      <c r="K23" t="str">
        <f t="shared" si="2"/>
        <v>Emily</v>
      </c>
      <c r="L23" t="s">
        <v>16</v>
      </c>
    </row>
    <row r="24" spans="1:12" x14ac:dyDescent="0.35">
      <c r="A24">
        <v>23</v>
      </c>
      <c r="B24">
        <v>21</v>
      </c>
      <c r="C24">
        <v>16</v>
      </c>
      <c r="D24">
        <v>6</v>
      </c>
      <c r="E24">
        <v>19</v>
      </c>
      <c r="F24">
        <v>0</v>
      </c>
      <c r="G24">
        <v>7</v>
      </c>
      <c r="H24">
        <f t="shared" si="0"/>
        <v>-15</v>
      </c>
      <c r="I24">
        <f t="shared" si="1"/>
        <v>9</v>
      </c>
      <c r="J24">
        <f t="shared" si="3"/>
        <v>24</v>
      </c>
      <c r="K24" t="str">
        <f t="shared" si="2"/>
        <v>Kathleen</v>
      </c>
      <c r="L24" t="s">
        <v>16</v>
      </c>
    </row>
    <row r="25" spans="1:12" x14ac:dyDescent="0.35">
      <c r="A25">
        <v>24</v>
      </c>
      <c r="B25">
        <v>16</v>
      </c>
      <c r="C25">
        <v>24</v>
      </c>
      <c r="D25">
        <v>5</v>
      </c>
      <c r="E25">
        <v>11</v>
      </c>
      <c r="F25">
        <v>7</v>
      </c>
      <c r="G25">
        <v>0</v>
      </c>
      <c r="H25">
        <f t="shared" si="0"/>
        <v>2</v>
      </c>
      <c r="I25">
        <f t="shared" si="1"/>
        <v>13</v>
      </c>
      <c r="J25">
        <f t="shared" si="3"/>
        <v>11</v>
      </c>
      <c r="K25" t="str">
        <f t="shared" si="2"/>
        <v>Kathleen</v>
      </c>
      <c r="L25" t="s">
        <v>17</v>
      </c>
    </row>
    <row r="26" spans="1:12" x14ac:dyDescent="0.35">
      <c r="A26">
        <v>25</v>
      </c>
      <c r="B26">
        <v>26</v>
      </c>
      <c r="C26">
        <v>22</v>
      </c>
      <c r="D26">
        <v>8</v>
      </c>
      <c r="E26">
        <v>9</v>
      </c>
      <c r="F26">
        <v>0</v>
      </c>
      <c r="G26">
        <v>7</v>
      </c>
      <c r="H26">
        <f t="shared" si="0"/>
        <v>11</v>
      </c>
      <c r="I26">
        <f t="shared" si="1"/>
        <v>10</v>
      </c>
      <c r="J26">
        <f t="shared" si="3"/>
        <v>1</v>
      </c>
      <c r="K26" t="str">
        <f t="shared" si="2"/>
        <v>Emily</v>
      </c>
      <c r="L26" t="s">
        <v>16</v>
      </c>
    </row>
    <row r="27" spans="1:12" x14ac:dyDescent="0.35">
      <c r="A27">
        <v>26</v>
      </c>
      <c r="B27">
        <v>8</v>
      </c>
      <c r="C27">
        <v>42</v>
      </c>
      <c r="D27">
        <v>13</v>
      </c>
      <c r="E27">
        <v>11</v>
      </c>
      <c r="F27">
        <v>7</v>
      </c>
      <c r="G27">
        <v>0</v>
      </c>
      <c r="H27">
        <f t="shared" si="0"/>
        <v>20</v>
      </c>
      <c r="I27">
        <f t="shared" si="1"/>
        <v>-11</v>
      </c>
      <c r="J27">
        <f t="shared" si="3"/>
        <v>31</v>
      </c>
      <c r="K27" t="str">
        <f t="shared" si="2"/>
        <v>Emily</v>
      </c>
      <c r="L27" t="s">
        <v>17</v>
      </c>
    </row>
    <row r="28" spans="1:12" x14ac:dyDescent="0.35">
      <c r="A28">
        <v>27</v>
      </c>
      <c r="B28">
        <v>18</v>
      </c>
      <c r="C28">
        <v>36</v>
      </c>
      <c r="D28">
        <v>8</v>
      </c>
      <c r="E28">
        <v>14</v>
      </c>
      <c r="F28">
        <v>7</v>
      </c>
      <c r="G28">
        <v>0</v>
      </c>
      <c r="H28">
        <f t="shared" si="0"/>
        <v>8</v>
      </c>
      <c r="I28">
        <f t="shared" si="1"/>
        <v>9</v>
      </c>
      <c r="J28">
        <f t="shared" si="3"/>
        <v>1</v>
      </c>
      <c r="K28" t="str">
        <f t="shared" si="2"/>
        <v>Kathleen</v>
      </c>
      <c r="L28" t="s">
        <v>16</v>
      </c>
    </row>
    <row r="29" spans="1:12" x14ac:dyDescent="0.35">
      <c r="A29">
        <v>28</v>
      </c>
      <c r="B29">
        <v>27</v>
      </c>
      <c r="C29">
        <v>25</v>
      </c>
      <c r="D29">
        <v>11</v>
      </c>
      <c r="E29">
        <v>11</v>
      </c>
      <c r="F29">
        <v>0</v>
      </c>
      <c r="G29">
        <v>7</v>
      </c>
      <c r="H29">
        <f t="shared" si="0"/>
        <v>10</v>
      </c>
      <c r="I29">
        <f t="shared" si="1"/>
        <v>5</v>
      </c>
      <c r="J29">
        <f t="shared" si="3"/>
        <v>5</v>
      </c>
      <c r="K29" t="str">
        <f t="shared" si="2"/>
        <v>Emily</v>
      </c>
      <c r="L29" t="s">
        <v>16</v>
      </c>
    </row>
    <row r="30" spans="1:12" x14ac:dyDescent="0.35">
      <c r="A30">
        <v>29</v>
      </c>
      <c r="B30">
        <v>35</v>
      </c>
      <c r="C30">
        <v>14</v>
      </c>
      <c r="D30">
        <v>9</v>
      </c>
      <c r="E30">
        <v>9</v>
      </c>
      <c r="F30">
        <v>7</v>
      </c>
      <c r="G30">
        <v>0</v>
      </c>
      <c r="H30">
        <f t="shared" si="0"/>
        <v>-4</v>
      </c>
      <c r="I30">
        <f t="shared" si="1"/>
        <v>24</v>
      </c>
      <c r="J30">
        <f t="shared" si="3"/>
        <v>28</v>
      </c>
      <c r="K30" t="str">
        <f t="shared" si="2"/>
        <v>Kathleen</v>
      </c>
      <c r="L30" t="s">
        <v>17</v>
      </c>
    </row>
    <row r="31" spans="1:12" x14ac:dyDescent="0.35">
      <c r="A31">
        <v>30</v>
      </c>
      <c r="B31">
        <v>17</v>
      </c>
      <c r="C31">
        <v>30</v>
      </c>
      <c r="D31">
        <v>13</v>
      </c>
      <c r="E31">
        <v>8</v>
      </c>
      <c r="F31">
        <v>0</v>
      </c>
      <c r="G31">
        <v>7</v>
      </c>
      <c r="H31">
        <f t="shared" si="0"/>
        <v>21</v>
      </c>
      <c r="I31">
        <f t="shared" si="1"/>
        <v>-9</v>
      </c>
      <c r="J31">
        <f t="shared" si="3"/>
        <v>30</v>
      </c>
      <c r="K31" t="str">
        <f t="shared" si="2"/>
        <v>Emily</v>
      </c>
      <c r="L31" t="s">
        <v>16</v>
      </c>
    </row>
    <row r="32" spans="1:12" x14ac:dyDescent="0.35">
      <c r="A32">
        <v>31</v>
      </c>
      <c r="B32">
        <v>14</v>
      </c>
      <c r="C32">
        <v>25</v>
      </c>
      <c r="D32">
        <v>11</v>
      </c>
      <c r="E32">
        <v>17</v>
      </c>
      <c r="F32">
        <v>7</v>
      </c>
      <c r="G32">
        <v>0</v>
      </c>
      <c r="H32">
        <f t="shared" ref="H32:H72" si="4">C32-(E32*2)+G32</f>
        <v>-9</v>
      </c>
      <c r="I32">
        <f t="shared" ref="I32:I72" si="5">B32-(D32*2)+F32</f>
        <v>-1</v>
      </c>
      <c r="J32">
        <f t="shared" ref="J32:J72" si="6">ABS(H32-I32)</f>
        <v>8</v>
      </c>
      <c r="K32" t="str">
        <f t="shared" si="2"/>
        <v>Kathleen</v>
      </c>
      <c r="L32" t="s">
        <v>17</v>
      </c>
    </row>
    <row r="33" spans="1:12" x14ac:dyDescent="0.35">
      <c r="A33">
        <v>32</v>
      </c>
      <c r="B33">
        <v>16</v>
      </c>
      <c r="C33">
        <v>31</v>
      </c>
      <c r="D33">
        <v>13</v>
      </c>
      <c r="E33">
        <v>7</v>
      </c>
      <c r="F33">
        <v>0</v>
      </c>
      <c r="G33">
        <v>7</v>
      </c>
      <c r="H33">
        <f t="shared" si="4"/>
        <v>24</v>
      </c>
      <c r="I33">
        <f t="shared" si="5"/>
        <v>-10</v>
      </c>
      <c r="J33">
        <f t="shared" si="6"/>
        <v>34</v>
      </c>
      <c r="K33" t="str">
        <f t="shared" si="2"/>
        <v>Emily</v>
      </c>
      <c r="L33" t="s">
        <v>16</v>
      </c>
    </row>
    <row r="34" spans="1:12" x14ac:dyDescent="0.35">
      <c r="A34">
        <v>33</v>
      </c>
      <c r="B34">
        <v>26</v>
      </c>
      <c r="C34">
        <v>29</v>
      </c>
      <c r="D34">
        <v>7</v>
      </c>
      <c r="E34">
        <v>8</v>
      </c>
      <c r="F34">
        <v>7</v>
      </c>
      <c r="G34">
        <v>0</v>
      </c>
      <c r="H34">
        <f t="shared" si="4"/>
        <v>13</v>
      </c>
      <c r="I34">
        <f t="shared" si="5"/>
        <v>19</v>
      </c>
      <c r="J34">
        <f t="shared" si="6"/>
        <v>6</v>
      </c>
      <c r="K34" t="str">
        <f t="shared" si="2"/>
        <v>Kathleen</v>
      </c>
      <c r="L34" t="s">
        <v>16</v>
      </c>
    </row>
    <row r="35" spans="1:12" x14ac:dyDescent="0.35">
      <c r="A35">
        <v>34</v>
      </c>
      <c r="B35">
        <v>23</v>
      </c>
      <c r="C35">
        <v>38</v>
      </c>
      <c r="D35">
        <v>9</v>
      </c>
      <c r="E35">
        <v>12</v>
      </c>
      <c r="F35">
        <v>0</v>
      </c>
      <c r="G35">
        <v>7</v>
      </c>
      <c r="H35">
        <f t="shared" si="4"/>
        <v>21</v>
      </c>
      <c r="I35">
        <f t="shared" si="5"/>
        <v>5</v>
      </c>
      <c r="J35">
        <f t="shared" si="6"/>
        <v>16</v>
      </c>
      <c r="K35" t="str">
        <f t="shared" si="2"/>
        <v>Emily</v>
      </c>
      <c r="L35" t="s">
        <v>17</v>
      </c>
    </row>
    <row r="36" spans="1:12" x14ac:dyDescent="0.35">
      <c r="A36">
        <v>35</v>
      </c>
      <c r="B36">
        <v>25</v>
      </c>
      <c r="C36">
        <v>28</v>
      </c>
      <c r="D36">
        <v>8</v>
      </c>
      <c r="E36">
        <v>7</v>
      </c>
      <c r="F36">
        <v>7</v>
      </c>
      <c r="G36">
        <v>0</v>
      </c>
      <c r="H36">
        <f t="shared" si="4"/>
        <v>14</v>
      </c>
      <c r="I36">
        <f t="shared" si="5"/>
        <v>16</v>
      </c>
      <c r="J36">
        <f t="shared" si="6"/>
        <v>2</v>
      </c>
      <c r="K36" t="str">
        <f t="shared" si="2"/>
        <v>Kathleen</v>
      </c>
      <c r="L36" t="s">
        <v>16</v>
      </c>
    </row>
    <row r="37" spans="1:12" x14ac:dyDescent="0.35">
      <c r="A37">
        <v>36</v>
      </c>
      <c r="B37">
        <v>17</v>
      </c>
      <c r="C37">
        <v>28</v>
      </c>
      <c r="D37">
        <v>6</v>
      </c>
      <c r="E37">
        <v>9</v>
      </c>
      <c r="F37">
        <v>0</v>
      </c>
      <c r="G37">
        <v>7</v>
      </c>
      <c r="H37">
        <f t="shared" si="4"/>
        <v>17</v>
      </c>
      <c r="I37">
        <f t="shared" si="5"/>
        <v>5</v>
      </c>
      <c r="J37">
        <f t="shared" si="6"/>
        <v>12</v>
      </c>
      <c r="K37" t="str">
        <f t="shared" si="2"/>
        <v>Emily</v>
      </c>
      <c r="L37" t="s">
        <v>17</v>
      </c>
    </row>
    <row r="38" spans="1:12" x14ac:dyDescent="0.35">
      <c r="A38">
        <v>37</v>
      </c>
      <c r="B38">
        <v>11</v>
      </c>
      <c r="C38">
        <v>32</v>
      </c>
      <c r="D38">
        <v>10</v>
      </c>
      <c r="E38">
        <v>13</v>
      </c>
      <c r="F38">
        <v>0</v>
      </c>
      <c r="G38">
        <v>7</v>
      </c>
      <c r="H38">
        <f t="shared" si="4"/>
        <v>13</v>
      </c>
      <c r="I38">
        <f t="shared" si="5"/>
        <v>-9</v>
      </c>
      <c r="J38">
        <f t="shared" si="6"/>
        <v>22</v>
      </c>
      <c r="K38" t="str">
        <f t="shared" si="2"/>
        <v>Emily</v>
      </c>
      <c r="L38" t="s">
        <v>16</v>
      </c>
    </row>
    <row r="39" spans="1:12" x14ac:dyDescent="0.35">
      <c r="A39">
        <v>38</v>
      </c>
      <c r="B39">
        <v>15</v>
      </c>
      <c r="C39">
        <v>23</v>
      </c>
      <c r="D39">
        <v>9</v>
      </c>
      <c r="E39">
        <v>12</v>
      </c>
      <c r="F39">
        <v>0</v>
      </c>
      <c r="G39">
        <v>7</v>
      </c>
      <c r="H39">
        <f t="shared" si="4"/>
        <v>6</v>
      </c>
      <c r="I39">
        <f t="shared" si="5"/>
        <v>-3</v>
      </c>
      <c r="J39">
        <f t="shared" si="6"/>
        <v>9</v>
      </c>
      <c r="K39" t="str">
        <f t="shared" si="2"/>
        <v>Emily</v>
      </c>
      <c r="L39" t="s">
        <v>17</v>
      </c>
    </row>
    <row r="40" spans="1:12" x14ac:dyDescent="0.35">
      <c r="A40">
        <v>39</v>
      </c>
      <c r="B40">
        <v>20</v>
      </c>
      <c r="C40">
        <v>24</v>
      </c>
      <c r="D40">
        <v>2</v>
      </c>
      <c r="E40">
        <v>17</v>
      </c>
      <c r="F40">
        <v>7</v>
      </c>
      <c r="G40">
        <v>0</v>
      </c>
      <c r="H40">
        <f t="shared" si="4"/>
        <v>-10</v>
      </c>
      <c r="I40">
        <f t="shared" si="5"/>
        <v>23</v>
      </c>
      <c r="J40">
        <f t="shared" si="6"/>
        <v>33</v>
      </c>
      <c r="K40" t="str">
        <f t="shared" si="2"/>
        <v>Kathleen</v>
      </c>
      <c r="L40" t="s">
        <v>16</v>
      </c>
    </row>
    <row r="41" spans="1:12" x14ac:dyDescent="0.35">
      <c r="A41">
        <v>40</v>
      </c>
      <c r="B41">
        <v>27</v>
      </c>
      <c r="C41">
        <v>41</v>
      </c>
      <c r="D41">
        <v>7</v>
      </c>
      <c r="E41">
        <v>5</v>
      </c>
      <c r="F41">
        <v>7</v>
      </c>
      <c r="G41">
        <v>0</v>
      </c>
      <c r="H41">
        <f t="shared" si="4"/>
        <v>31</v>
      </c>
      <c r="I41">
        <f t="shared" si="5"/>
        <v>20</v>
      </c>
      <c r="J41">
        <f t="shared" si="6"/>
        <v>11</v>
      </c>
      <c r="K41" t="str">
        <f t="shared" si="2"/>
        <v>Emily</v>
      </c>
      <c r="L41" t="s">
        <v>17</v>
      </c>
    </row>
    <row r="42" spans="1:12" x14ac:dyDescent="0.35">
      <c r="H42">
        <f t="shared" si="4"/>
        <v>0</v>
      </c>
      <c r="I42">
        <f t="shared" si="5"/>
        <v>0</v>
      </c>
      <c r="J42">
        <f t="shared" si="6"/>
        <v>0</v>
      </c>
      <c r="K42" t="str">
        <f t="shared" si="2"/>
        <v>Kathleen</v>
      </c>
    </row>
    <row r="43" spans="1:12" x14ac:dyDescent="0.35">
      <c r="H43">
        <f t="shared" si="4"/>
        <v>0</v>
      </c>
      <c r="I43">
        <f t="shared" si="5"/>
        <v>0</v>
      </c>
      <c r="J43">
        <f t="shared" si="6"/>
        <v>0</v>
      </c>
      <c r="K43" t="str">
        <f t="shared" si="2"/>
        <v>Kathleen</v>
      </c>
    </row>
    <row r="44" spans="1:12" x14ac:dyDescent="0.35">
      <c r="H44">
        <f t="shared" si="4"/>
        <v>0</v>
      </c>
      <c r="I44">
        <f t="shared" si="5"/>
        <v>0</v>
      </c>
      <c r="J44">
        <f t="shared" si="6"/>
        <v>0</v>
      </c>
      <c r="K44" t="str">
        <f t="shared" si="2"/>
        <v>Kathleen</v>
      </c>
    </row>
    <row r="45" spans="1:12" x14ac:dyDescent="0.35">
      <c r="H45">
        <f t="shared" si="4"/>
        <v>0</v>
      </c>
      <c r="I45">
        <f t="shared" si="5"/>
        <v>0</v>
      </c>
      <c r="J45">
        <f t="shared" si="6"/>
        <v>0</v>
      </c>
      <c r="K45" t="str">
        <f t="shared" si="2"/>
        <v>Kathleen</v>
      </c>
    </row>
    <row r="46" spans="1:12" x14ac:dyDescent="0.35">
      <c r="H46">
        <f t="shared" si="4"/>
        <v>0</v>
      </c>
      <c r="I46">
        <f t="shared" si="5"/>
        <v>0</v>
      </c>
      <c r="J46">
        <f t="shared" si="6"/>
        <v>0</v>
      </c>
      <c r="K46" t="str">
        <f t="shared" si="2"/>
        <v>Kathleen</v>
      </c>
    </row>
    <row r="47" spans="1:12" x14ac:dyDescent="0.35">
      <c r="H47">
        <f t="shared" si="4"/>
        <v>0</v>
      </c>
      <c r="I47">
        <f t="shared" si="5"/>
        <v>0</v>
      </c>
      <c r="J47">
        <f t="shared" si="6"/>
        <v>0</v>
      </c>
      <c r="K47" t="str">
        <f t="shared" si="2"/>
        <v>Kathleen</v>
      </c>
    </row>
    <row r="48" spans="1:12" x14ac:dyDescent="0.35">
      <c r="H48">
        <f t="shared" si="4"/>
        <v>0</v>
      </c>
      <c r="I48">
        <f t="shared" si="5"/>
        <v>0</v>
      </c>
      <c r="J48">
        <f t="shared" si="6"/>
        <v>0</v>
      </c>
      <c r="K48" t="str">
        <f t="shared" si="2"/>
        <v>Kathleen</v>
      </c>
    </row>
    <row r="49" spans="8:11" x14ac:dyDescent="0.35">
      <c r="H49">
        <f t="shared" si="4"/>
        <v>0</v>
      </c>
      <c r="I49">
        <f t="shared" si="5"/>
        <v>0</v>
      </c>
      <c r="J49">
        <f t="shared" si="6"/>
        <v>0</v>
      </c>
      <c r="K49" t="str">
        <f t="shared" si="2"/>
        <v>Kathleen</v>
      </c>
    </row>
    <row r="50" spans="8:11" x14ac:dyDescent="0.35">
      <c r="H50">
        <f t="shared" si="4"/>
        <v>0</v>
      </c>
      <c r="I50">
        <f t="shared" si="5"/>
        <v>0</v>
      </c>
      <c r="J50">
        <f t="shared" si="6"/>
        <v>0</v>
      </c>
      <c r="K50" t="str">
        <f t="shared" si="2"/>
        <v>Kathleen</v>
      </c>
    </row>
    <row r="51" spans="8:11" x14ac:dyDescent="0.35">
      <c r="H51">
        <f t="shared" si="4"/>
        <v>0</v>
      </c>
      <c r="I51">
        <f t="shared" si="5"/>
        <v>0</v>
      </c>
      <c r="J51">
        <f t="shared" si="6"/>
        <v>0</v>
      </c>
      <c r="K51" t="str">
        <f t="shared" si="2"/>
        <v>Kathleen</v>
      </c>
    </row>
    <row r="52" spans="8:11" x14ac:dyDescent="0.35">
      <c r="H52">
        <f t="shared" si="4"/>
        <v>0</v>
      </c>
      <c r="I52">
        <f t="shared" si="5"/>
        <v>0</v>
      </c>
      <c r="J52">
        <f t="shared" si="6"/>
        <v>0</v>
      </c>
      <c r="K52" t="str">
        <f t="shared" si="2"/>
        <v>Kathleen</v>
      </c>
    </row>
    <row r="53" spans="8:11" x14ac:dyDescent="0.35">
      <c r="H53">
        <f t="shared" si="4"/>
        <v>0</v>
      </c>
      <c r="I53">
        <f t="shared" si="5"/>
        <v>0</v>
      </c>
      <c r="J53">
        <f t="shared" si="6"/>
        <v>0</v>
      </c>
      <c r="K53" t="str">
        <f t="shared" si="2"/>
        <v>Kathleen</v>
      </c>
    </row>
    <row r="54" spans="8:11" x14ac:dyDescent="0.35">
      <c r="H54">
        <f t="shared" si="4"/>
        <v>0</v>
      </c>
      <c r="I54">
        <f t="shared" si="5"/>
        <v>0</v>
      </c>
      <c r="J54">
        <f t="shared" si="6"/>
        <v>0</v>
      </c>
      <c r="K54" t="str">
        <f t="shared" si="2"/>
        <v>Kathleen</v>
      </c>
    </row>
    <row r="55" spans="8:11" x14ac:dyDescent="0.35">
      <c r="H55">
        <f t="shared" si="4"/>
        <v>0</v>
      </c>
      <c r="I55">
        <f t="shared" si="5"/>
        <v>0</v>
      </c>
      <c r="J55">
        <f t="shared" si="6"/>
        <v>0</v>
      </c>
      <c r="K55" t="str">
        <f t="shared" si="2"/>
        <v>Kathleen</v>
      </c>
    </row>
    <row r="56" spans="8:11" x14ac:dyDescent="0.35">
      <c r="H56">
        <f t="shared" si="4"/>
        <v>0</v>
      </c>
      <c r="I56">
        <f t="shared" si="5"/>
        <v>0</v>
      </c>
      <c r="J56">
        <f t="shared" si="6"/>
        <v>0</v>
      </c>
      <c r="K56" t="str">
        <f t="shared" si="2"/>
        <v>Kathleen</v>
      </c>
    </row>
    <row r="57" spans="8:11" x14ac:dyDescent="0.35">
      <c r="H57">
        <f t="shared" si="4"/>
        <v>0</v>
      </c>
      <c r="I57">
        <f t="shared" si="5"/>
        <v>0</v>
      </c>
      <c r="J57">
        <f t="shared" si="6"/>
        <v>0</v>
      </c>
      <c r="K57" t="str">
        <f t="shared" si="2"/>
        <v>Kathleen</v>
      </c>
    </row>
    <row r="58" spans="8:11" x14ac:dyDescent="0.35">
      <c r="H58">
        <f t="shared" si="4"/>
        <v>0</v>
      </c>
      <c r="I58">
        <f t="shared" si="5"/>
        <v>0</v>
      </c>
      <c r="J58">
        <f t="shared" si="6"/>
        <v>0</v>
      </c>
      <c r="K58" t="str">
        <f t="shared" si="2"/>
        <v>Kathleen</v>
      </c>
    </row>
    <row r="59" spans="8:11" x14ac:dyDescent="0.35">
      <c r="H59">
        <f t="shared" si="4"/>
        <v>0</v>
      </c>
      <c r="I59">
        <f t="shared" si="5"/>
        <v>0</v>
      </c>
      <c r="J59">
        <f t="shared" si="6"/>
        <v>0</v>
      </c>
      <c r="K59" t="str">
        <f t="shared" si="2"/>
        <v>Kathleen</v>
      </c>
    </row>
    <row r="60" spans="8:11" x14ac:dyDescent="0.35">
      <c r="H60">
        <f t="shared" si="4"/>
        <v>0</v>
      </c>
      <c r="I60">
        <f t="shared" si="5"/>
        <v>0</v>
      </c>
      <c r="J60">
        <f t="shared" si="6"/>
        <v>0</v>
      </c>
      <c r="K60" t="str">
        <f t="shared" si="2"/>
        <v>Kathleen</v>
      </c>
    </row>
    <row r="61" spans="8:11" x14ac:dyDescent="0.35">
      <c r="H61">
        <f t="shared" si="4"/>
        <v>0</v>
      </c>
      <c r="I61">
        <f t="shared" si="5"/>
        <v>0</v>
      </c>
      <c r="J61">
        <f t="shared" si="6"/>
        <v>0</v>
      </c>
      <c r="K61" t="str">
        <f t="shared" si="2"/>
        <v>Kathleen</v>
      </c>
    </row>
    <row r="62" spans="8:11" x14ac:dyDescent="0.35">
      <c r="H62">
        <f t="shared" si="4"/>
        <v>0</v>
      </c>
      <c r="I62">
        <f t="shared" si="5"/>
        <v>0</v>
      </c>
      <c r="J62">
        <f t="shared" si="6"/>
        <v>0</v>
      </c>
      <c r="K62" t="str">
        <f t="shared" si="2"/>
        <v>Kathleen</v>
      </c>
    </row>
    <row r="63" spans="8:11" x14ac:dyDescent="0.35">
      <c r="H63">
        <f t="shared" si="4"/>
        <v>0</v>
      </c>
      <c r="I63">
        <f t="shared" si="5"/>
        <v>0</v>
      </c>
      <c r="J63">
        <f t="shared" si="6"/>
        <v>0</v>
      </c>
      <c r="K63" t="str">
        <f t="shared" si="2"/>
        <v>Kathleen</v>
      </c>
    </row>
    <row r="64" spans="8:11" x14ac:dyDescent="0.35">
      <c r="H64">
        <f t="shared" si="4"/>
        <v>0</v>
      </c>
      <c r="I64">
        <f t="shared" si="5"/>
        <v>0</v>
      </c>
      <c r="J64">
        <f t="shared" si="6"/>
        <v>0</v>
      </c>
      <c r="K64" t="str">
        <f t="shared" si="2"/>
        <v>Kathleen</v>
      </c>
    </row>
    <row r="65" spans="8:11" x14ac:dyDescent="0.35">
      <c r="H65">
        <f t="shared" si="4"/>
        <v>0</v>
      </c>
      <c r="I65">
        <f t="shared" si="5"/>
        <v>0</v>
      </c>
      <c r="J65">
        <f t="shared" si="6"/>
        <v>0</v>
      </c>
      <c r="K65" t="str">
        <f t="shared" si="2"/>
        <v>Kathleen</v>
      </c>
    </row>
    <row r="66" spans="8:11" x14ac:dyDescent="0.35">
      <c r="H66">
        <f t="shared" si="4"/>
        <v>0</v>
      </c>
      <c r="I66">
        <f t="shared" si="5"/>
        <v>0</v>
      </c>
      <c r="J66">
        <f t="shared" si="6"/>
        <v>0</v>
      </c>
      <c r="K66" t="str">
        <f t="shared" ref="K66:K72" si="7">IF(H66&gt;I66, "Emily", "Kathleen")</f>
        <v>Kathleen</v>
      </c>
    </row>
    <row r="67" spans="8:11" x14ac:dyDescent="0.35">
      <c r="H67">
        <f t="shared" si="4"/>
        <v>0</v>
      </c>
      <c r="I67">
        <f t="shared" si="5"/>
        <v>0</v>
      </c>
      <c r="J67">
        <f t="shared" si="6"/>
        <v>0</v>
      </c>
      <c r="K67" t="str">
        <f t="shared" si="7"/>
        <v>Kathleen</v>
      </c>
    </row>
    <row r="68" spans="8:11" x14ac:dyDescent="0.35">
      <c r="H68">
        <f t="shared" si="4"/>
        <v>0</v>
      </c>
      <c r="I68">
        <f t="shared" si="5"/>
        <v>0</v>
      </c>
      <c r="J68">
        <f t="shared" si="6"/>
        <v>0</v>
      </c>
      <c r="K68" t="str">
        <f t="shared" si="7"/>
        <v>Kathleen</v>
      </c>
    </row>
    <row r="69" spans="8:11" x14ac:dyDescent="0.35">
      <c r="H69">
        <f t="shared" si="4"/>
        <v>0</v>
      </c>
      <c r="I69">
        <f t="shared" si="5"/>
        <v>0</v>
      </c>
      <c r="J69">
        <f t="shared" si="6"/>
        <v>0</v>
      </c>
      <c r="K69" t="str">
        <f t="shared" si="7"/>
        <v>Kathleen</v>
      </c>
    </row>
    <row r="70" spans="8:11" x14ac:dyDescent="0.35">
      <c r="H70">
        <f t="shared" si="4"/>
        <v>0</v>
      </c>
      <c r="I70">
        <f t="shared" si="5"/>
        <v>0</v>
      </c>
      <c r="J70">
        <f t="shared" si="6"/>
        <v>0</v>
      </c>
      <c r="K70" t="str">
        <f t="shared" si="7"/>
        <v>Kathleen</v>
      </c>
    </row>
    <row r="71" spans="8:11" x14ac:dyDescent="0.35">
      <c r="H71">
        <f t="shared" si="4"/>
        <v>0</v>
      </c>
      <c r="I71">
        <f t="shared" si="5"/>
        <v>0</v>
      </c>
      <c r="J71">
        <f t="shared" si="6"/>
        <v>0</v>
      </c>
      <c r="K71" t="str">
        <f t="shared" si="7"/>
        <v>Kathleen</v>
      </c>
    </row>
    <row r="72" spans="8:11" x14ac:dyDescent="0.35">
      <c r="H72">
        <f t="shared" si="4"/>
        <v>0</v>
      </c>
      <c r="I72">
        <f t="shared" si="5"/>
        <v>0</v>
      </c>
      <c r="J72">
        <f t="shared" si="6"/>
        <v>0</v>
      </c>
      <c r="K72" t="str">
        <f t="shared" si="7"/>
        <v>Kathleen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9C66A1-980A-4F1E-B505-A700EE4119D6}">
  <dimension ref="A1:K61"/>
  <sheetViews>
    <sheetView tabSelected="1" zoomScale="156" workbookViewId="0">
      <selection activeCell="H5" sqref="H5"/>
    </sheetView>
  </sheetViews>
  <sheetFormatPr defaultRowHeight="14.5" x14ac:dyDescent="0.35"/>
  <cols>
    <col min="8" max="8" width="12.36328125" bestFit="1" customWidth="1"/>
    <col min="9" max="9" width="15.26953125" bestFit="1" customWidth="1"/>
    <col min="10" max="10" width="8.26953125" bestFit="1" customWidth="1"/>
    <col min="11" max="12" width="10.7265625" bestFit="1" customWidth="1"/>
    <col min="13" max="13" width="1.81640625" bestFit="1" customWidth="1"/>
    <col min="14" max="14" width="13.08984375" bestFit="1" customWidth="1"/>
    <col min="15" max="15" width="8.54296875" bestFit="1" customWidth="1"/>
    <col min="16" max="16" width="11.453125" bestFit="1" customWidth="1"/>
    <col min="17" max="17" width="10.7265625" bestFit="1" customWidth="1"/>
  </cols>
  <sheetData>
    <row r="1" spans="1:11" x14ac:dyDescent="0.35">
      <c r="A1" t="s">
        <v>38</v>
      </c>
      <c r="B1" t="s">
        <v>68</v>
      </c>
      <c r="C1" t="s">
        <v>69</v>
      </c>
      <c r="D1" t="s">
        <v>70</v>
      </c>
      <c r="E1" t="s">
        <v>75</v>
      </c>
      <c r="F1" t="s">
        <v>83</v>
      </c>
    </row>
    <row r="2" spans="1:11" x14ac:dyDescent="0.35">
      <c r="A2">
        <v>1</v>
      </c>
      <c r="B2" t="s">
        <v>16</v>
      </c>
      <c r="C2" t="s">
        <v>76</v>
      </c>
      <c r="D2">
        <v>8</v>
      </c>
      <c r="E2">
        <f>LEN(SUBSTITUTE(C2, " ", ""))</f>
        <v>5</v>
      </c>
      <c r="F2">
        <v>1</v>
      </c>
    </row>
    <row r="3" spans="1:11" x14ac:dyDescent="0.35">
      <c r="A3">
        <v>1</v>
      </c>
      <c r="B3" t="s">
        <v>17</v>
      </c>
      <c r="C3" t="s">
        <v>77</v>
      </c>
      <c r="D3">
        <v>16</v>
      </c>
      <c r="E3">
        <f t="shared" ref="E3:E28" si="0">LEN(SUBSTITUTE(C3, " ", ""))</f>
        <v>5</v>
      </c>
      <c r="F3">
        <v>1</v>
      </c>
    </row>
    <row r="4" spans="1:11" x14ac:dyDescent="0.35">
      <c r="A4">
        <v>1</v>
      </c>
      <c r="B4" t="s">
        <v>16</v>
      </c>
      <c r="C4" t="s">
        <v>78</v>
      </c>
      <c r="D4">
        <v>12</v>
      </c>
      <c r="E4">
        <f t="shared" si="0"/>
        <v>5</v>
      </c>
      <c r="F4">
        <v>1</v>
      </c>
    </row>
    <row r="5" spans="1:11" x14ac:dyDescent="0.35">
      <c r="A5">
        <v>1</v>
      </c>
      <c r="B5" t="s">
        <v>17</v>
      </c>
      <c r="C5" t="s">
        <v>79</v>
      </c>
      <c r="D5">
        <v>12</v>
      </c>
      <c r="E5">
        <f t="shared" si="0"/>
        <v>4</v>
      </c>
      <c r="F5">
        <v>1</v>
      </c>
      <c r="H5" s="3" t="s">
        <v>71</v>
      </c>
      <c r="I5" s="3" t="s">
        <v>72</v>
      </c>
    </row>
    <row r="6" spans="1:11" x14ac:dyDescent="0.35">
      <c r="A6">
        <v>1</v>
      </c>
      <c r="B6" t="s">
        <v>16</v>
      </c>
      <c r="C6" t="s">
        <v>80</v>
      </c>
      <c r="D6">
        <v>14</v>
      </c>
      <c r="E6">
        <f t="shared" si="0"/>
        <v>4</v>
      </c>
      <c r="F6">
        <v>1</v>
      </c>
      <c r="H6" s="3" t="s">
        <v>74</v>
      </c>
      <c r="I6" t="s">
        <v>17</v>
      </c>
      <c r="J6" t="s">
        <v>16</v>
      </c>
      <c r="K6" t="s">
        <v>73</v>
      </c>
    </row>
    <row r="7" spans="1:11" x14ac:dyDescent="0.35">
      <c r="A7">
        <v>1</v>
      </c>
      <c r="B7" t="s">
        <v>17</v>
      </c>
      <c r="C7" t="s">
        <v>81</v>
      </c>
      <c r="D7">
        <v>8</v>
      </c>
      <c r="E7">
        <f t="shared" si="0"/>
        <v>4</v>
      </c>
      <c r="F7">
        <v>1</v>
      </c>
      <c r="H7" s="4">
        <v>1</v>
      </c>
      <c r="I7" s="2">
        <v>298</v>
      </c>
      <c r="J7" s="2">
        <v>332</v>
      </c>
      <c r="K7" s="2">
        <v>630</v>
      </c>
    </row>
    <row r="8" spans="1:11" x14ac:dyDescent="0.35">
      <c r="A8">
        <v>1</v>
      </c>
      <c r="B8" t="s">
        <v>16</v>
      </c>
      <c r="C8" t="s">
        <v>82</v>
      </c>
      <c r="D8">
        <v>18</v>
      </c>
      <c r="E8">
        <f t="shared" si="0"/>
        <v>3</v>
      </c>
      <c r="F8">
        <v>1</v>
      </c>
      <c r="H8" s="4">
        <v>2</v>
      </c>
      <c r="I8" s="2"/>
      <c r="J8" s="2"/>
      <c r="K8" s="2"/>
    </row>
    <row r="9" spans="1:11" x14ac:dyDescent="0.35">
      <c r="A9">
        <v>1</v>
      </c>
      <c r="B9" t="s">
        <v>17</v>
      </c>
      <c r="C9" t="s">
        <v>84</v>
      </c>
      <c r="D9">
        <v>18</v>
      </c>
      <c r="E9">
        <f t="shared" si="0"/>
        <v>5</v>
      </c>
      <c r="F9">
        <v>2</v>
      </c>
      <c r="H9" s="4" t="s">
        <v>73</v>
      </c>
      <c r="I9" s="2">
        <v>298</v>
      </c>
      <c r="J9" s="2">
        <v>332</v>
      </c>
      <c r="K9" s="2">
        <v>630</v>
      </c>
    </row>
    <row r="10" spans="1:11" x14ac:dyDescent="0.35">
      <c r="A10">
        <v>1</v>
      </c>
      <c r="B10" t="s">
        <v>16</v>
      </c>
      <c r="C10" t="s">
        <v>85</v>
      </c>
      <c r="D10">
        <v>33</v>
      </c>
      <c r="E10">
        <f t="shared" si="0"/>
        <v>5</v>
      </c>
      <c r="F10">
        <v>1</v>
      </c>
    </row>
    <row r="11" spans="1:11" x14ac:dyDescent="0.35">
      <c r="A11">
        <v>1</v>
      </c>
      <c r="B11" t="s">
        <v>17</v>
      </c>
      <c r="C11" t="s">
        <v>86</v>
      </c>
      <c r="D11">
        <v>3</v>
      </c>
      <c r="E11">
        <f t="shared" si="0"/>
        <v>3</v>
      </c>
      <c r="F11">
        <v>1</v>
      </c>
    </row>
    <row r="12" spans="1:11" x14ac:dyDescent="0.35">
      <c r="A12">
        <v>1</v>
      </c>
      <c r="B12" t="s">
        <v>16</v>
      </c>
      <c r="C12" t="s">
        <v>87</v>
      </c>
      <c r="D12">
        <v>17</v>
      </c>
      <c r="E12">
        <f t="shared" si="0"/>
        <v>4</v>
      </c>
      <c r="F12">
        <v>1</v>
      </c>
    </row>
    <row r="13" spans="1:11" x14ac:dyDescent="0.35">
      <c r="A13">
        <v>1</v>
      </c>
      <c r="B13" t="s">
        <v>17</v>
      </c>
      <c r="C13" t="s">
        <v>88</v>
      </c>
      <c r="D13">
        <v>18</v>
      </c>
      <c r="E13">
        <f t="shared" si="0"/>
        <v>5</v>
      </c>
      <c r="F13">
        <v>1</v>
      </c>
    </row>
    <row r="14" spans="1:11" x14ac:dyDescent="0.35">
      <c r="A14">
        <v>1</v>
      </c>
      <c r="B14" t="s">
        <v>16</v>
      </c>
      <c r="C14" t="s">
        <v>89</v>
      </c>
      <c r="D14">
        <v>21</v>
      </c>
      <c r="E14">
        <f t="shared" si="0"/>
        <v>5</v>
      </c>
      <c r="F14">
        <v>1</v>
      </c>
    </row>
    <row r="15" spans="1:11" x14ac:dyDescent="0.35">
      <c r="A15">
        <v>1</v>
      </c>
      <c r="B15" t="s">
        <v>17</v>
      </c>
      <c r="C15" t="s">
        <v>90</v>
      </c>
      <c r="D15">
        <v>54</v>
      </c>
      <c r="E15">
        <f t="shared" si="0"/>
        <v>13</v>
      </c>
      <c r="F15">
        <v>5</v>
      </c>
    </row>
    <row r="16" spans="1:11" x14ac:dyDescent="0.35">
      <c r="A16">
        <v>1</v>
      </c>
      <c r="B16" t="s">
        <v>16</v>
      </c>
      <c r="C16" t="s">
        <v>91</v>
      </c>
      <c r="D16">
        <v>25</v>
      </c>
      <c r="E16">
        <f t="shared" si="0"/>
        <v>11</v>
      </c>
      <c r="F16">
        <v>2</v>
      </c>
    </row>
    <row r="17" spans="1:6" x14ac:dyDescent="0.35">
      <c r="A17">
        <v>1</v>
      </c>
      <c r="B17" t="s">
        <v>17</v>
      </c>
      <c r="C17" t="s">
        <v>92</v>
      </c>
      <c r="D17">
        <v>24</v>
      </c>
      <c r="E17">
        <f t="shared" si="0"/>
        <v>8</v>
      </c>
      <c r="F17">
        <v>1</v>
      </c>
    </row>
    <row r="18" spans="1:6" x14ac:dyDescent="0.35">
      <c r="A18">
        <v>1</v>
      </c>
      <c r="B18" t="s">
        <v>16</v>
      </c>
      <c r="C18" t="s">
        <v>93</v>
      </c>
      <c r="D18">
        <v>16</v>
      </c>
      <c r="E18">
        <f t="shared" si="0"/>
        <v>5</v>
      </c>
      <c r="F18">
        <v>1</v>
      </c>
    </row>
    <row r="19" spans="1:6" x14ac:dyDescent="0.35">
      <c r="A19">
        <v>1</v>
      </c>
      <c r="B19" t="s">
        <v>17</v>
      </c>
      <c r="C19" t="s">
        <v>94</v>
      </c>
      <c r="D19">
        <v>20</v>
      </c>
      <c r="E19">
        <f t="shared" si="0"/>
        <v>4</v>
      </c>
      <c r="F19">
        <v>2</v>
      </c>
    </row>
    <row r="20" spans="1:6" x14ac:dyDescent="0.35">
      <c r="A20">
        <v>1</v>
      </c>
      <c r="B20" t="s">
        <v>16</v>
      </c>
      <c r="C20" t="s">
        <v>95</v>
      </c>
      <c r="D20">
        <v>24</v>
      </c>
      <c r="E20">
        <f t="shared" si="0"/>
        <v>6</v>
      </c>
      <c r="F20">
        <v>1</v>
      </c>
    </row>
    <row r="21" spans="1:6" x14ac:dyDescent="0.35">
      <c r="A21">
        <v>1</v>
      </c>
      <c r="B21" t="s">
        <v>17</v>
      </c>
      <c r="C21" t="s">
        <v>96</v>
      </c>
      <c r="D21">
        <v>36</v>
      </c>
      <c r="E21">
        <f t="shared" si="0"/>
        <v>4</v>
      </c>
      <c r="F21">
        <v>1</v>
      </c>
    </row>
    <row r="22" spans="1:6" x14ac:dyDescent="0.35">
      <c r="A22">
        <v>1</v>
      </c>
      <c r="B22" t="s">
        <v>16</v>
      </c>
      <c r="C22" t="s">
        <v>97</v>
      </c>
      <c r="D22">
        <v>16</v>
      </c>
      <c r="E22">
        <f t="shared" si="0"/>
        <v>2</v>
      </c>
      <c r="F22">
        <v>1</v>
      </c>
    </row>
    <row r="23" spans="1:6" x14ac:dyDescent="0.35">
      <c r="A23">
        <v>1</v>
      </c>
      <c r="B23" t="s">
        <v>17</v>
      </c>
      <c r="C23" t="s">
        <v>98</v>
      </c>
      <c r="D23">
        <v>24</v>
      </c>
      <c r="E23">
        <f t="shared" si="0"/>
        <v>5</v>
      </c>
      <c r="F23">
        <v>1</v>
      </c>
    </row>
    <row r="24" spans="1:6" x14ac:dyDescent="0.35">
      <c r="A24">
        <v>1</v>
      </c>
      <c r="B24" t="s">
        <v>16</v>
      </c>
      <c r="C24" t="s">
        <v>99</v>
      </c>
      <c r="D24">
        <v>29</v>
      </c>
      <c r="E24">
        <f t="shared" si="0"/>
        <v>9</v>
      </c>
      <c r="F24">
        <v>2</v>
      </c>
    </row>
    <row r="25" spans="1:6" x14ac:dyDescent="0.35">
      <c r="A25">
        <v>1</v>
      </c>
      <c r="B25" t="s">
        <v>17</v>
      </c>
      <c r="C25" t="s">
        <v>100</v>
      </c>
      <c r="D25">
        <v>23</v>
      </c>
      <c r="E25">
        <f t="shared" si="0"/>
        <v>6</v>
      </c>
      <c r="F25">
        <v>3</v>
      </c>
    </row>
    <row r="26" spans="1:6" x14ac:dyDescent="0.35">
      <c r="A26">
        <v>1</v>
      </c>
      <c r="B26" t="s">
        <v>16</v>
      </c>
      <c r="C26" t="s">
        <v>101</v>
      </c>
      <c r="D26">
        <v>37</v>
      </c>
      <c r="E26">
        <f t="shared" si="0"/>
        <v>10</v>
      </c>
      <c r="F26">
        <v>2</v>
      </c>
    </row>
    <row r="27" spans="1:6" x14ac:dyDescent="0.35">
      <c r="A27">
        <v>1</v>
      </c>
      <c r="B27" t="s">
        <v>17</v>
      </c>
      <c r="C27" t="s">
        <v>102</v>
      </c>
      <c r="D27">
        <v>13</v>
      </c>
      <c r="E27">
        <f t="shared" si="0"/>
        <v>5</v>
      </c>
      <c r="F27">
        <v>1</v>
      </c>
    </row>
    <row r="28" spans="1:6" x14ac:dyDescent="0.35">
      <c r="A28">
        <v>1</v>
      </c>
      <c r="B28" t="s">
        <v>16</v>
      </c>
      <c r="C28" t="s">
        <v>103</v>
      </c>
      <c r="D28">
        <v>29</v>
      </c>
      <c r="E28">
        <f t="shared" si="0"/>
        <v>4</v>
      </c>
      <c r="F28">
        <v>2</v>
      </c>
    </row>
    <row r="29" spans="1:6" x14ac:dyDescent="0.35">
      <c r="A29">
        <v>1</v>
      </c>
      <c r="B29" t="s">
        <v>17</v>
      </c>
      <c r="C29" t="s">
        <v>104</v>
      </c>
      <c r="D29">
        <v>16</v>
      </c>
      <c r="E29">
        <f t="shared" ref="E3:E61" si="1">LEN(SUBSTITUTE(C28, " ", ""))</f>
        <v>4</v>
      </c>
      <c r="F29">
        <v>2</v>
      </c>
    </row>
    <row r="30" spans="1:6" x14ac:dyDescent="0.35">
      <c r="A30">
        <v>1</v>
      </c>
      <c r="B30" t="s">
        <v>16</v>
      </c>
      <c r="C30" t="s">
        <v>105</v>
      </c>
      <c r="D30">
        <v>20</v>
      </c>
      <c r="E30">
        <f t="shared" si="1"/>
        <v>6</v>
      </c>
      <c r="F30">
        <v>2</v>
      </c>
    </row>
    <row r="31" spans="1:6" x14ac:dyDescent="0.35">
      <c r="A31">
        <v>1</v>
      </c>
      <c r="B31" t="s">
        <v>17</v>
      </c>
      <c r="C31" t="s">
        <v>106</v>
      </c>
      <c r="D31">
        <v>11</v>
      </c>
      <c r="E31">
        <f t="shared" si="1"/>
        <v>6</v>
      </c>
      <c r="F31">
        <v>1</v>
      </c>
    </row>
    <row r="32" spans="1:6" x14ac:dyDescent="0.35">
      <c r="A32">
        <v>1</v>
      </c>
      <c r="B32" t="s">
        <v>16</v>
      </c>
      <c r="C32" t="s">
        <v>107</v>
      </c>
      <c r="D32">
        <v>14</v>
      </c>
      <c r="E32">
        <f t="shared" si="1"/>
        <v>2</v>
      </c>
      <c r="F32">
        <v>2</v>
      </c>
    </row>
    <row r="33" spans="1:6" x14ac:dyDescent="0.35">
      <c r="A33">
        <v>1</v>
      </c>
      <c r="B33" t="s">
        <v>17</v>
      </c>
      <c r="C33" t="s">
        <v>108</v>
      </c>
      <c r="D33">
        <v>2</v>
      </c>
      <c r="E33">
        <f t="shared" si="1"/>
        <v>4</v>
      </c>
      <c r="F33">
        <v>1</v>
      </c>
    </row>
    <row r="34" spans="1:6" x14ac:dyDescent="0.35">
      <c r="A34">
        <v>1</v>
      </c>
      <c r="B34" t="s">
        <v>16</v>
      </c>
      <c r="D34">
        <v>-1</v>
      </c>
      <c r="E34">
        <f t="shared" si="1"/>
        <v>3</v>
      </c>
      <c r="F34">
        <v>0</v>
      </c>
    </row>
    <row r="35" spans="1:6" x14ac:dyDescent="0.35">
      <c r="A35">
        <v>1</v>
      </c>
      <c r="B35" t="s">
        <v>17</v>
      </c>
      <c r="E35">
        <f t="shared" si="1"/>
        <v>0</v>
      </c>
    </row>
    <row r="36" spans="1:6" x14ac:dyDescent="0.35">
      <c r="A36">
        <v>2</v>
      </c>
      <c r="B36" t="s">
        <v>16</v>
      </c>
      <c r="E36">
        <f t="shared" si="1"/>
        <v>0</v>
      </c>
    </row>
    <row r="37" spans="1:6" x14ac:dyDescent="0.35">
      <c r="A37">
        <v>2</v>
      </c>
      <c r="B37" t="s">
        <v>17</v>
      </c>
      <c r="E37">
        <f t="shared" si="1"/>
        <v>0</v>
      </c>
    </row>
    <row r="38" spans="1:6" x14ac:dyDescent="0.35">
      <c r="A38">
        <v>2</v>
      </c>
      <c r="B38" t="s">
        <v>16</v>
      </c>
      <c r="E38">
        <f t="shared" si="1"/>
        <v>0</v>
      </c>
    </row>
    <row r="39" spans="1:6" x14ac:dyDescent="0.35">
      <c r="A39">
        <v>2</v>
      </c>
      <c r="B39" t="s">
        <v>17</v>
      </c>
      <c r="E39">
        <f t="shared" si="1"/>
        <v>0</v>
      </c>
    </row>
    <row r="40" spans="1:6" x14ac:dyDescent="0.35">
      <c r="A40">
        <v>2</v>
      </c>
      <c r="B40" t="s">
        <v>16</v>
      </c>
      <c r="E40">
        <f t="shared" si="1"/>
        <v>0</v>
      </c>
    </row>
    <row r="41" spans="1:6" x14ac:dyDescent="0.35">
      <c r="A41">
        <v>2</v>
      </c>
      <c r="B41" t="s">
        <v>17</v>
      </c>
      <c r="E41">
        <f t="shared" si="1"/>
        <v>0</v>
      </c>
    </row>
    <row r="42" spans="1:6" x14ac:dyDescent="0.35">
      <c r="A42">
        <v>2</v>
      </c>
      <c r="B42" t="s">
        <v>16</v>
      </c>
      <c r="E42">
        <f t="shared" si="1"/>
        <v>0</v>
      </c>
    </row>
    <row r="43" spans="1:6" x14ac:dyDescent="0.35">
      <c r="A43">
        <v>2</v>
      </c>
      <c r="B43" t="s">
        <v>17</v>
      </c>
      <c r="E43">
        <f t="shared" si="1"/>
        <v>0</v>
      </c>
    </row>
    <row r="44" spans="1:6" x14ac:dyDescent="0.35">
      <c r="A44">
        <v>2</v>
      </c>
      <c r="B44" t="s">
        <v>16</v>
      </c>
      <c r="E44">
        <f t="shared" si="1"/>
        <v>0</v>
      </c>
    </row>
    <row r="45" spans="1:6" x14ac:dyDescent="0.35">
      <c r="A45">
        <v>2</v>
      </c>
      <c r="B45" t="s">
        <v>17</v>
      </c>
      <c r="E45">
        <f t="shared" si="1"/>
        <v>0</v>
      </c>
    </row>
    <row r="46" spans="1:6" x14ac:dyDescent="0.35">
      <c r="A46">
        <v>2</v>
      </c>
      <c r="B46" t="s">
        <v>16</v>
      </c>
      <c r="E46">
        <f t="shared" si="1"/>
        <v>0</v>
      </c>
    </row>
    <row r="47" spans="1:6" x14ac:dyDescent="0.35">
      <c r="A47">
        <v>2</v>
      </c>
      <c r="B47" t="s">
        <v>17</v>
      </c>
      <c r="E47">
        <f t="shared" si="1"/>
        <v>0</v>
      </c>
    </row>
    <row r="48" spans="1:6" x14ac:dyDescent="0.35">
      <c r="A48">
        <v>2</v>
      </c>
      <c r="B48" t="s">
        <v>16</v>
      </c>
      <c r="E48">
        <f t="shared" si="1"/>
        <v>0</v>
      </c>
    </row>
    <row r="49" spans="1:5" x14ac:dyDescent="0.35">
      <c r="A49">
        <v>2</v>
      </c>
      <c r="B49" t="s">
        <v>17</v>
      </c>
      <c r="E49">
        <f t="shared" si="1"/>
        <v>0</v>
      </c>
    </row>
    <row r="50" spans="1:5" x14ac:dyDescent="0.35">
      <c r="A50">
        <v>2</v>
      </c>
      <c r="B50" t="s">
        <v>16</v>
      </c>
      <c r="E50">
        <f t="shared" si="1"/>
        <v>0</v>
      </c>
    </row>
    <row r="51" spans="1:5" x14ac:dyDescent="0.35">
      <c r="A51">
        <v>2</v>
      </c>
      <c r="B51" t="s">
        <v>17</v>
      </c>
      <c r="E51">
        <f t="shared" si="1"/>
        <v>0</v>
      </c>
    </row>
    <row r="52" spans="1:5" x14ac:dyDescent="0.35">
      <c r="A52">
        <v>2</v>
      </c>
      <c r="B52" t="s">
        <v>16</v>
      </c>
      <c r="E52">
        <f t="shared" si="1"/>
        <v>0</v>
      </c>
    </row>
    <row r="53" spans="1:5" x14ac:dyDescent="0.35">
      <c r="A53">
        <v>2</v>
      </c>
      <c r="B53" t="s">
        <v>17</v>
      </c>
      <c r="E53">
        <f t="shared" si="1"/>
        <v>0</v>
      </c>
    </row>
    <row r="54" spans="1:5" x14ac:dyDescent="0.35">
      <c r="A54">
        <v>2</v>
      </c>
      <c r="B54" t="s">
        <v>16</v>
      </c>
      <c r="E54">
        <f t="shared" si="1"/>
        <v>0</v>
      </c>
    </row>
    <row r="55" spans="1:5" x14ac:dyDescent="0.35">
      <c r="A55">
        <v>2</v>
      </c>
      <c r="B55" t="s">
        <v>17</v>
      </c>
      <c r="E55">
        <f t="shared" si="1"/>
        <v>0</v>
      </c>
    </row>
    <row r="56" spans="1:5" x14ac:dyDescent="0.35">
      <c r="A56">
        <v>2</v>
      </c>
      <c r="B56" t="s">
        <v>16</v>
      </c>
      <c r="E56">
        <f t="shared" si="1"/>
        <v>0</v>
      </c>
    </row>
    <row r="57" spans="1:5" x14ac:dyDescent="0.35">
      <c r="A57">
        <v>2</v>
      </c>
      <c r="B57" t="s">
        <v>17</v>
      </c>
      <c r="E57">
        <f t="shared" si="1"/>
        <v>0</v>
      </c>
    </row>
    <row r="58" spans="1:5" x14ac:dyDescent="0.35">
      <c r="A58">
        <v>2</v>
      </c>
      <c r="B58" t="s">
        <v>16</v>
      </c>
      <c r="E58">
        <f t="shared" si="1"/>
        <v>0</v>
      </c>
    </row>
    <row r="59" spans="1:5" x14ac:dyDescent="0.35">
      <c r="A59">
        <v>2</v>
      </c>
      <c r="B59" t="s">
        <v>17</v>
      </c>
      <c r="E59">
        <f t="shared" si="1"/>
        <v>0</v>
      </c>
    </row>
    <row r="60" spans="1:5" x14ac:dyDescent="0.35">
      <c r="A60">
        <v>2</v>
      </c>
      <c r="B60" t="s">
        <v>16</v>
      </c>
      <c r="E60">
        <f t="shared" si="1"/>
        <v>0</v>
      </c>
    </row>
    <row r="61" spans="1:5" x14ac:dyDescent="0.35">
      <c r="A61">
        <v>2</v>
      </c>
      <c r="B61" t="s">
        <v>17</v>
      </c>
      <c r="E61">
        <f t="shared" si="1"/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8AD0A9-2237-487B-8A07-08A28BA53786}">
  <dimension ref="A1:I22"/>
  <sheetViews>
    <sheetView workbookViewId="0">
      <selection activeCell="I11" sqref="I11"/>
    </sheetView>
  </sheetViews>
  <sheetFormatPr defaultRowHeight="14.5" x14ac:dyDescent="0.35"/>
  <sheetData>
    <row r="1" spans="1:9" x14ac:dyDescent="0.35">
      <c r="A1" t="s">
        <v>28</v>
      </c>
      <c r="B1" t="s">
        <v>29</v>
      </c>
      <c r="C1" t="s">
        <v>30</v>
      </c>
      <c r="D1" t="s">
        <v>31</v>
      </c>
      <c r="E1" t="s">
        <v>32</v>
      </c>
      <c r="F1" t="s">
        <v>33</v>
      </c>
      <c r="G1" t="s">
        <v>18</v>
      </c>
      <c r="H1" t="s">
        <v>39</v>
      </c>
      <c r="I1" t="s">
        <v>38</v>
      </c>
    </row>
    <row r="2" spans="1:9" x14ac:dyDescent="0.35">
      <c r="A2">
        <v>14</v>
      </c>
      <c r="B2">
        <v>9</v>
      </c>
      <c r="C2">
        <v>0</v>
      </c>
      <c r="D2">
        <v>0</v>
      </c>
      <c r="E2">
        <v>10</v>
      </c>
      <c r="F2">
        <v>16</v>
      </c>
      <c r="G2" t="str">
        <f t="shared" ref="G2:G22" si="0">IF(E2&gt;F2, "Kathleen", "Emily")</f>
        <v>Emily</v>
      </c>
      <c r="I2">
        <v>1</v>
      </c>
    </row>
    <row r="3" spans="1:9" x14ac:dyDescent="0.35">
      <c r="A3">
        <v>14</v>
      </c>
      <c r="B3">
        <v>10</v>
      </c>
      <c r="C3">
        <v>0</v>
      </c>
      <c r="D3">
        <v>0</v>
      </c>
      <c r="E3">
        <v>15</v>
      </c>
      <c r="F3">
        <v>7</v>
      </c>
      <c r="G3" t="str">
        <f t="shared" si="0"/>
        <v>Kathleen</v>
      </c>
      <c r="I3">
        <v>2</v>
      </c>
    </row>
    <row r="4" spans="1:9" x14ac:dyDescent="0.35">
      <c r="A4">
        <v>13</v>
      </c>
      <c r="B4">
        <v>11</v>
      </c>
      <c r="C4">
        <v>6</v>
      </c>
      <c r="D4">
        <v>3</v>
      </c>
      <c r="E4">
        <v>16</v>
      </c>
      <c r="F4">
        <v>13</v>
      </c>
      <c r="G4" t="str">
        <f t="shared" si="0"/>
        <v>Kathleen</v>
      </c>
      <c r="I4">
        <v>3</v>
      </c>
    </row>
    <row r="5" spans="1:9" x14ac:dyDescent="0.35">
      <c r="A5">
        <v>13</v>
      </c>
      <c r="B5">
        <v>12</v>
      </c>
      <c r="C5">
        <v>0</v>
      </c>
      <c r="D5">
        <v>6</v>
      </c>
      <c r="E5">
        <v>13</v>
      </c>
      <c r="F5">
        <v>18</v>
      </c>
      <c r="G5" t="str">
        <f t="shared" si="0"/>
        <v>Emily</v>
      </c>
      <c r="I5">
        <v>4</v>
      </c>
    </row>
    <row r="6" spans="1:9" x14ac:dyDescent="0.35">
      <c r="A6">
        <v>12</v>
      </c>
      <c r="B6">
        <v>16</v>
      </c>
      <c r="C6">
        <v>0</v>
      </c>
      <c r="D6">
        <v>0</v>
      </c>
      <c r="E6">
        <v>12</v>
      </c>
      <c r="F6">
        <v>16</v>
      </c>
      <c r="G6" t="str">
        <f t="shared" si="0"/>
        <v>Emily</v>
      </c>
      <c r="I6">
        <v>5</v>
      </c>
    </row>
    <row r="7" spans="1:9" x14ac:dyDescent="0.35">
      <c r="A7">
        <v>10</v>
      </c>
      <c r="B7">
        <v>13</v>
      </c>
      <c r="C7">
        <v>0</v>
      </c>
      <c r="D7">
        <v>0</v>
      </c>
      <c r="E7">
        <v>15</v>
      </c>
      <c r="F7">
        <v>11</v>
      </c>
      <c r="G7" t="str">
        <f t="shared" si="0"/>
        <v>Kathleen</v>
      </c>
      <c r="I7">
        <v>6</v>
      </c>
    </row>
    <row r="8" spans="1:9" x14ac:dyDescent="0.35">
      <c r="A8">
        <v>18</v>
      </c>
      <c r="B8">
        <v>16</v>
      </c>
      <c r="C8">
        <v>0</v>
      </c>
      <c r="D8">
        <v>6</v>
      </c>
      <c r="E8">
        <v>14</v>
      </c>
      <c r="F8">
        <v>18</v>
      </c>
      <c r="G8" t="str">
        <f t="shared" si="0"/>
        <v>Emily</v>
      </c>
      <c r="I8">
        <v>7</v>
      </c>
    </row>
    <row r="9" spans="1:9" x14ac:dyDescent="0.35">
      <c r="A9">
        <v>10</v>
      </c>
      <c r="B9">
        <v>12</v>
      </c>
      <c r="C9">
        <v>0</v>
      </c>
      <c r="D9">
        <v>0</v>
      </c>
      <c r="E9">
        <v>14</v>
      </c>
      <c r="F9">
        <v>17</v>
      </c>
      <c r="G9" t="str">
        <f t="shared" si="0"/>
        <v>Emily</v>
      </c>
      <c r="H9" t="s">
        <v>16</v>
      </c>
      <c r="I9">
        <v>8</v>
      </c>
    </row>
    <row r="10" spans="1:9" x14ac:dyDescent="0.35">
      <c r="A10">
        <v>10</v>
      </c>
      <c r="B10">
        <v>13</v>
      </c>
      <c r="C10">
        <v>0</v>
      </c>
      <c r="D10">
        <v>0</v>
      </c>
      <c r="E10">
        <v>10</v>
      </c>
      <c r="F10">
        <v>13</v>
      </c>
      <c r="G10" t="str">
        <f t="shared" si="0"/>
        <v>Emily</v>
      </c>
      <c r="H10" t="s">
        <v>16</v>
      </c>
      <c r="I10">
        <v>9</v>
      </c>
    </row>
    <row r="11" spans="1:9" x14ac:dyDescent="0.35">
      <c r="A11">
        <v>10</v>
      </c>
      <c r="B11">
        <v>9</v>
      </c>
      <c r="C11">
        <v>0</v>
      </c>
      <c r="D11">
        <v>3</v>
      </c>
      <c r="E11">
        <v>6</v>
      </c>
      <c r="F11">
        <v>15</v>
      </c>
      <c r="G11" t="str">
        <f t="shared" si="0"/>
        <v>Emily</v>
      </c>
      <c r="H11" t="s">
        <v>17</v>
      </c>
      <c r="I11">
        <v>10</v>
      </c>
    </row>
    <row r="12" spans="1:9" x14ac:dyDescent="0.35">
      <c r="A12">
        <v>12</v>
      </c>
      <c r="B12">
        <v>12</v>
      </c>
      <c r="C12">
        <v>0</v>
      </c>
      <c r="D12">
        <v>0</v>
      </c>
      <c r="E12">
        <v>15</v>
      </c>
      <c r="F12">
        <v>14</v>
      </c>
      <c r="G12" t="str">
        <f t="shared" si="0"/>
        <v>Kathleen</v>
      </c>
      <c r="H12" t="s">
        <v>16</v>
      </c>
      <c r="I12">
        <v>11</v>
      </c>
    </row>
    <row r="13" spans="1:9" x14ac:dyDescent="0.35">
      <c r="A13">
        <v>8</v>
      </c>
      <c r="B13">
        <v>9</v>
      </c>
      <c r="C13">
        <v>0</v>
      </c>
      <c r="D13">
        <v>0</v>
      </c>
      <c r="E13">
        <v>9</v>
      </c>
      <c r="F13">
        <v>15</v>
      </c>
      <c r="G13" t="str">
        <f t="shared" si="0"/>
        <v>Emily</v>
      </c>
      <c r="H13" t="s">
        <v>16</v>
      </c>
      <c r="I13">
        <v>12</v>
      </c>
    </row>
    <row r="14" spans="1:9" x14ac:dyDescent="0.35">
      <c r="A14">
        <v>12</v>
      </c>
      <c r="B14">
        <v>10</v>
      </c>
      <c r="C14">
        <v>0</v>
      </c>
      <c r="D14">
        <v>3</v>
      </c>
      <c r="E14">
        <v>12</v>
      </c>
      <c r="F14">
        <v>15</v>
      </c>
      <c r="G14" t="str">
        <f t="shared" si="0"/>
        <v>Emily</v>
      </c>
      <c r="H14" t="s">
        <v>17</v>
      </c>
      <c r="I14">
        <v>13</v>
      </c>
    </row>
    <row r="15" spans="1:9" x14ac:dyDescent="0.35">
      <c r="A15">
        <v>10</v>
      </c>
      <c r="B15">
        <v>9</v>
      </c>
      <c r="C15">
        <v>0</v>
      </c>
      <c r="D15">
        <v>0</v>
      </c>
      <c r="E15">
        <v>11</v>
      </c>
      <c r="F15">
        <v>15</v>
      </c>
      <c r="G15" t="str">
        <f t="shared" si="0"/>
        <v>Emily</v>
      </c>
      <c r="H15" t="s">
        <v>16</v>
      </c>
      <c r="I15">
        <v>14</v>
      </c>
    </row>
    <row r="16" spans="1:9" x14ac:dyDescent="0.35">
      <c r="A16">
        <v>9</v>
      </c>
      <c r="B16">
        <v>9</v>
      </c>
      <c r="C16">
        <v>0</v>
      </c>
      <c r="D16">
        <v>0</v>
      </c>
      <c r="E16">
        <v>15</v>
      </c>
      <c r="F16">
        <v>7</v>
      </c>
      <c r="G16" t="str">
        <f t="shared" si="0"/>
        <v>Kathleen</v>
      </c>
      <c r="H16" t="s">
        <v>17</v>
      </c>
      <c r="I16">
        <v>15</v>
      </c>
    </row>
    <row r="17" spans="1:9" x14ac:dyDescent="0.35">
      <c r="A17">
        <v>15</v>
      </c>
      <c r="B17">
        <v>9</v>
      </c>
      <c r="C17">
        <v>2</v>
      </c>
      <c r="D17">
        <v>0</v>
      </c>
      <c r="E17">
        <v>16</v>
      </c>
      <c r="F17">
        <v>12</v>
      </c>
      <c r="G17" t="str">
        <f t="shared" si="0"/>
        <v>Kathleen</v>
      </c>
      <c r="H17" t="s">
        <v>16</v>
      </c>
      <c r="I17">
        <v>16</v>
      </c>
    </row>
    <row r="18" spans="1:9" x14ac:dyDescent="0.35">
      <c r="A18">
        <v>18</v>
      </c>
      <c r="B18">
        <v>15</v>
      </c>
      <c r="C18">
        <v>2</v>
      </c>
      <c r="D18">
        <v>1</v>
      </c>
      <c r="E18">
        <v>15</v>
      </c>
      <c r="F18">
        <v>12</v>
      </c>
      <c r="G18" t="str">
        <f t="shared" si="0"/>
        <v>Kathleen</v>
      </c>
    </row>
    <row r="19" spans="1:9" x14ac:dyDescent="0.35">
      <c r="G19" t="str">
        <f t="shared" si="0"/>
        <v>Emily</v>
      </c>
    </row>
    <row r="20" spans="1:9" x14ac:dyDescent="0.35">
      <c r="G20" t="str">
        <f t="shared" si="0"/>
        <v>Emily</v>
      </c>
    </row>
    <row r="21" spans="1:9" x14ac:dyDescent="0.35">
      <c r="G21" t="str">
        <f t="shared" si="0"/>
        <v>Emily</v>
      </c>
    </row>
    <row r="22" spans="1:9" x14ac:dyDescent="0.35">
      <c r="G22" t="str">
        <f t="shared" si="0"/>
        <v>Emily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Duel</vt:lpstr>
      <vt:lpstr>Splendor Duel</vt:lpstr>
      <vt:lpstr>Isle of Skye</vt:lpstr>
      <vt:lpstr>Carcassone</vt:lpstr>
      <vt:lpstr>Ticket to Ride</vt:lpstr>
      <vt:lpstr>7Wonders</vt:lpstr>
      <vt:lpstr>Patchwork</vt:lpstr>
      <vt:lpstr>Scrabble</vt:lpstr>
      <vt:lpstr>Splendor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Emily Nordmann</cp:lastModifiedBy>
  <dcterms:created xsi:type="dcterms:W3CDTF">2020-03-23T22:30:01Z</dcterms:created>
  <dcterms:modified xsi:type="dcterms:W3CDTF">2026-09-12T20:01:41Z</dcterms:modified>
</cp:coreProperties>
</file>